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imeblanchouin/Documents/EPFL/Repository/REHO/reho/data/mobility/"/>
    </mc:Choice>
  </mc:AlternateContent>
  <xr:revisionPtr revIDLastSave="0" documentId="13_ncr:1_{A3314730-D734-1E46-9753-755F2ABBE2CD}" xr6:coauthVersionLast="47" xr6:coauthVersionMax="47" xr10:uidLastSave="{00000000-0000-0000-0000-000000000000}"/>
  <bookViews>
    <workbookView xWindow="2800" yWindow="980" windowWidth="27640" windowHeight="15480" activeTab="3" xr2:uid="{D8AF8394-9889-3145-8BDE-BF6C622560FC}"/>
  </bookViews>
  <sheets>
    <sheet name="&gt;&gt;&gt;" sheetId="3" r:id="rId1"/>
    <sheet name="df_Grid_t" sheetId="1" r:id="rId2"/>
    <sheet name="df_Time" sheetId="2" r:id="rId3"/>
    <sheet name="LCA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11" i="2"/>
  <c r="E9" i="2"/>
  <c r="E8" i="2"/>
  <c r="E7" i="2"/>
  <c r="E6" i="2"/>
  <c r="E5" i="2"/>
  <c r="E4" i="2"/>
  <c r="E3" i="2"/>
  <c r="E2" i="2"/>
  <c r="I7" i="2"/>
  <c r="I10" i="2" s="1"/>
  <c r="B14" i="2"/>
  <c r="E14" i="2" l="1"/>
</calcChain>
</file>

<file path=xl/sharedStrings.xml><?xml version="1.0" encoding="utf-8"?>
<sst xmlns="http://schemas.openxmlformats.org/spreadsheetml/2006/main" count="39" uniqueCount="37">
  <si>
    <t>Period</t>
  </si>
  <si>
    <t>Time</t>
  </si>
  <si>
    <t>Grid_demand</t>
  </si>
  <si>
    <t>Grid_supply</t>
  </si>
  <si>
    <t>Cost_supply</t>
  </si>
  <si>
    <t>Cost_demand</t>
  </si>
  <si>
    <t>GWP_supply</t>
  </si>
  <si>
    <t>GWP_demand</t>
  </si>
  <si>
    <t>Uncontrollable_load</t>
  </si>
  <si>
    <t>Domestic_energy</t>
  </si>
  <si>
    <t>dp</t>
  </si>
  <si>
    <t>TimeEnd</t>
  </si>
  <si>
    <t>dt</t>
  </si>
  <si>
    <t>Mobilité</t>
  </si>
  <si>
    <t>pkm</t>
  </si>
  <si>
    <t>Distance moyenne parcourue à Lausanne</t>
  </si>
  <si>
    <t>km</t>
  </si>
  <si>
    <t>Part des TP dans les déplacements (sur le territoire)</t>
  </si>
  <si>
    <t>%</t>
  </si>
  <si>
    <t>inclut bus et tram (d'après MRMT)</t>
  </si>
  <si>
    <t>Distance journalière parcourue en TP</t>
  </si>
  <si>
    <t>Coût d'un déplacement en TP 2019</t>
  </si>
  <si>
    <t>CHF/pkm</t>
  </si>
  <si>
    <t>Inflation</t>
  </si>
  <si>
    <t>https://www.donneesmondiales.com/europe/suisse/inflation.php</t>
  </si>
  <si>
    <t>Coût annuel des TP à Lausanne</t>
  </si>
  <si>
    <t>CHF/pers</t>
  </si>
  <si>
    <t>Copie d'extrait de résultats enregistrés dans 6a_totex_high.xlsx</t>
  </si>
  <si>
    <t>Les noms des onglets coincident entre les deux fichiers</t>
  </si>
  <si>
    <t>Hub</t>
  </si>
  <si>
    <t>Layer</t>
  </si>
  <si>
    <t>Electricity</t>
  </si>
  <si>
    <t>Building1</t>
  </si>
  <si>
    <t>Lien vers la recherche ecoinvent :</t>
  </si>
  <si>
    <t>https://ecoquery.ecoinvent.org/3.11/cutoff/dataset/4572/impact_assessment</t>
  </si>
  <si>
    <t>voir excel mobitool (25.4 gCO2e)</t>
  </si>
  <si>
    <t xml:space="preserve">Exception pour le GWP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</si>
</sst>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Aptos Narrow (Body)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0" borderId="0" xfId="1"/>
    <xf numFmtId="0" fontId="3" fillId="0" borderId="0" xfId="0" applyFont="1"/>
    <xf numFmtId="0" fontId="4" fillId="0" borderId="0" xfId="0" applyFont="1"/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right" vertical="top"/>
    </xf>
    <xf numFmtId="0" fontId="0" fillId="0" borderId="0" xfId="0" applyAlignment="1">
      <alignment horizontal="righ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nneesmondiales.com/europe/suisse/inflation.ph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coquery.ecoinvent.org/3.11/cutoff/dataset/4572/impact_assess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64A3-7A9B-0B43-B1E5-E103FED9F0B4}">
  <dimension ref="A1:A2"/>
  <sheetViews>
    <sheetView workbookViewId="0">
      <selection activeCell="B7" sqref="B7"/>
    </sheetView>
  </sheetViews>
  <sheetFormatPr baseColWidth="10" defaultRowHeight="16" x14ac:dyDescent="0.2"/>
  <sheetData>
    <row r="1" spans="1:1" ht="19" x14ac:dyDescent="0.25">
      <c r="A1" s="7" t="s">
        <v>27</v>
      </c>
    </row>
    <row r="2" spans="1:1" x14ac:dyDescent="0.2">
      <c r="A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9E0A-ADAC-3142-8527-8807801FF631}">
  <dimension ref="A1:L241"/>
  <sheetViews>
    <sheetView topLeftCell="A192" workbookViewId="0">
      <selection activeCell="A242" sqref="A242"/>
    </sheetView>
  </sheetViews>
  <sheetFormatPr baseColWidth="10" defaultRowHeight="16" x14ac:dyDescent="0.2"/>
  <cols>
    <col min="7" max="8" width="0" hidden="1" customWidth="1"/>
    <col min="10" max="11" width="0" hidden="1" customWidth="1"/>
    <col min="12" max="12" width="14.6640625" bestFit="1" customWidth="1"/>
  </cols>
  <sheetData>
    <row r="1" spans="1:12" x14ac:dyDescent="0.2">
      <c r="A1" s="1" t="s">
        <v>30</v>
      </c>
      <c r="B1" s="1" t="s">
        <v>29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 t="s">
        <v>9</v>
      </c>
    </row>
    <row r="2" spans="1:12" x14ac:dyDescent="0.2">
      <c r="A2" s="8" t="s">
        <v>31</v>
      </c>
      <c r="B2" s="8" t="s">
        <v>32</v>
      </c>
      <c r="C2" s="10">
        <v>1</v>
      </c>
      <c r="D2">
        <v>1</v>
      </c>
      <c r="E2">
        <v>0</v>
      </c>
      <c r="F2">
        <v>16.460259998606301</v>
      </c>
      <c r="G2">
        <v>0.3</v>
      </c>
      <c r="H2">
        <v>0</v>
      </c>
      <c r="I2">
        <v>1.95E-2</v>
      </c>
      <c r="J2">
        <v>0</v>
      </c>
      <c r="K2">
        <v>0</v>
      </c>
      <c r="L2" s="2">
        <v>63.815527957273211</v>
      </c>
    </row>
    <row r="3" spans="1:12" x14ac:dyDescent="0.2">
      <c r="A3" s="9"/>
      <c r="B3" s="9"/>
      <c r="C3" s="11"/>
      <c r="D3">
        <v>2</v>
      </c>
      <c r="E3">
        <v>0</v>
      </c>
      <c r="F3">
        <v>12.6546133456037</v>
      </c>
      <c r="G3">
        <v>0.3</v>
      </c>
      <c r="H3">
        <v>0</v>
      </c>
      <c r="I3">
        <v>1.95E-2</v>
      </c>
      <c r="J3">
        <v>0</v>
      </c>
      <c r="K3">
        <v>0</v>
      </c>
      <c r="L3" s="2">
        <v>46.764579113363702</v>
      </c>
    </row>
    <row r="4" spans="1:12" x14ac:dyDescent="0.2">
      <c r="A4" s="9"/>
      <c r="B4" s="9"/>
      <c r="C4" s="11"/>
      <c r="D4">
        <v>3</v>
      </c>
      <c r="E4">
        <v>0</v>
      </c>
      <c r="F4">
        <v>12.525402109474809</v>
      </c>
      <c r="G4">
        <v>0.3</v>
      </c>
      <c r="H4">
        <v>0</v>
      </c>
      <c r="I4">
        <v>1.95E-2</v>
      </c>
      <c r="J4">
        <v>0</v>
      </c>
      <c r="K4">
        <v>0</v>
      </c>
      <c r="L4" s="2">
        <v>46.330705302966543</v>
      </c>
    </row>
    <row r="5" spans="1:12" x14ac:dyDescent="0.2">
      <c r="A5" s="9"/>
      <c r="B5" s="9"/>
      <c r="C5" s="11"/>
      <c r="D5">
        <v>4</v>
      </c>
      <c r="E5">
        <v>0</v>
      </c>
      <c r="F5">
        <v>7.8360985953544446</v>
      </c>
      <c r="G5">
        <v>0.3</v>
      </c>
      <c r="H5">
        <v>0</v>
      </c>
      <c r="I5">
        <v>1.95E-2</v>
      </c>
      <c r="J5">
        <v>0</v>
      </c>
      <c r="K5">
        <v>0</v>
      </c>
      <c r="L5" s="2">
        <v>30.584659953250441</v>
      </c>
    </row>
    <row r="6" spans="1:12" x14ac:dyDescent="0.2">
      <c r="A6" s="9"/>
      <c r="B6" s="9"/>
      <c r="C6" s="11"/>
      <c r="D6">
        <v>5</v>
      </c>
      <c r="E6">
        <v>0</v>
      </c>
      <c r="F6">
        <v>6.6859499138237037</v>
      </c>
      <c r="G6">
        <v>0.3</v>
      </c>
      <c r="H6">
        <v>0</v>
      </c>
      <c r="I6">
        <v>1.95E-2</v>
      </c>
      <c r="J6">
        <v>0</v>
      </c>
      <c r="K6">
        <v>0</v>
      </c>
      <c r="L6" s="2">
        <v>26.722616636207519</v>
      </c>
    </row>
    <row r="7" spans="1:12" x14ac:dyDescent="0.2">
      <c r="A7" s="9"/>
      <c r="B7" s="9"/>
      <c r="C7" s="11"/>
      <c r="D7">
        <v>6</v>
      </c>
      <c r="E7">
        <v>0</v>
      </c>
      <c r="F7">
        <v>1.0108514773859261</v>
      </c>
      <c r="G7">
        <v>0.3</v>
      </c>
      <c r="H7">
        <v>0</v>
      </c>
      <c r="I7">
        <v>1.95E-2</v>
      </c>
      <c r="J7">
        <v>0</v>
      </c>
      <c r="K7">
        <v>0</v>
      </c>
      <c r="L7" s="2">
        <v>46.11533632877503</v>
      </c>
    </row>
    <row r="8" spans="1:12" x14ac:dyDescent="0.2">
      <c r="A8" s="9"/>
      <c r="B8" s="9"/>
      <c r="C8" s="11"/>
      <c r="D8">
        <v>7</v>
      </c>
      <c r="E8">
        <v>0</v>
      </c>
      <c r="F8">
        <v>0</v>
      </c>
      <c r="G8">
        <v>0.3</v>
      </c>
      <c r="H8">
        <v>0</v>
      </c>
      <c r="I8">
        <v>1.95E-2</v>
      </c>
      <c r="J8">
        <v>0</v>
      </c>
      <c r="K8">
        <v>0</v>
      </c>
      <c r="L8" s="2">
        <v>81.047990810816273</v>
      </c>
    </row>
    <row r="9" spans="1:12" x14ac:dyDescent="0.2">
      <c r="A9" s="9"/>
      <c r="B9" s="9"/>
      <c r="C9" s="11"/>
      <c r="D9">
        <v>8</v>
      </c>
      <c r="E9">
        <v>0</v>
      </c>
      <c r="F9">
        <v>14.50073293735111</v>
      </c>
      <c r="G9">
        <v>0.3</v>
      </c>
      <c r="H9">
        <v>0</v>
      </c>
      <c r="I9">
        <v>1.95E-2</v>
      </c>
      <c r="J9">
        <v>0</v>
      </c>
      <c r="K9">
        <v>0</v>
      </c>
      <c r="L9" s="2">
        <v>181.1267007813839</v>
      </c>
    </row>
    <row r="10" spans="1:12" x14ac:dyDescent="0.2">
      <c r="A10" s="9"/>
      <c r="B10" s="9"/>
      <c r="C10" s="11"/>
      <c r="D10">
        <v>9</v>
      </c>
      <c r="E10">
        <v>0</v>
      </c>
      <c r="F10">
        <v>68.613206875562966</v>
      </c>
      <c r="G10">
        <v>0.3</v>
      </c>
      <c r="H10">
        <v>0</v>
      </c>
      <c r="I10">
        <v>1.95E-2</v>
      </c>
      <c r="J10">
        <v>0</v>
      </c>
      <c r="K10">
        <v>0</v>
      </c>
      <c r="L10" s="2">
        <v>315.8359132834031</v>
      </c>
    </row>
    <row r="11" spans="1:12" x14ac:dyDescent="0.2">
      <c r="A11" s="9"/>
      <c r="B11" s="9"/>
      <c r="C11" s="11"/>
      <c r="D11">
        <v>10</v>
      </c>
      <c r="E11">
        <v>0</v>
      </c>
      <c r="F11">
        <v>106.8605053096811</v>
      </c>
      <c r="G11">
        <v>0.3</v>
      </c>
      <c r="H11">
        <v>0</v>
      </c>
      <c r="I11">
        <v>1.95E-2</v>
      </c>
      <c r="J11">
        <v>0</v>
      </c>
      <c r="K11">
        <v>0</v>
      </c>
      <c r="L11" s="2">
        <v>439.99305183178672</v>
      </c>
    </row>
    <row r="12" spans="1:12" x14ac:dyDescent="0.2">
      <c r="A12" s="9"/>
      <c r="B12" s="9"/>
      <c r="C12" s="11"/>
      <c r="D12">
        <v>11</v>
      </c>
      <c r="E12">
        <v>0</v>
      </c>
      <c r="F12">
        <v>113.3849910168248</v>
      </c>
      <c r="G12">
        <v>0.3</v>
      </c>
      <c r="H12">
        <v>0</v>
      </c>
      <c r="I12">
        <v>1.95E-2</v>
      </c>
      <c r="J12">
        <v>0</v>
      </c>
      <c r="K12">
        <v>0</v>
      </c>
      <c r="L12" s="2">
        <v>461.90139014235018</v>
      </c>
    </row>
    <row r="13" spans="1:12" x14ac:dyDescent="0.2">
      <c r="A13" s="9"/>
      <c r="B13" s="9"/>
      <c r="C13" s="11"/>
      <c r="D13">
        <v>12</v>
      </c>
      <c r="E13">
        <v>0</v>
      </c>
      <c r="F13">
        <v>78.028556673210005</v>
      </c>
      <c r="G13">
        <v>0.3</v>
      </c>
      <c r="H13">
        <v>0</v>
      </c>
      <c r="I13">
        <v>1.95E-2</v>
      </c>
      <c r="J13">
        <v>0</v>
      </c>
      <c r="K13">
        <v>0</v>
      </c>
      <c r="L13" s="2">
        <v>390.17241535543758</v>
      </c>
    </row>
    <row r="14" spans="1:12" x14ac:dyDescent="0.2">
      <c r="A14" s="9"/>
      <c r="B14" s="9"/>
      <c r="C14" s="11"/>
      <c r="D14">
        <v>13</v>
      </c>
      <c r="E14">
        <v>0</v>
      </c>
      <c r="F14">
        <v>63.689678446297783</v>
      </c>
      <c r="G14">
        <v>0.3</v>
      </c>
      <c r="H14">
        <v>0</v>
      </c>
      <c r="I14">
        <v>1.95E-2</v>
      </c>
      <c r="J14">
        <v>0</v>
      </c>
      <c r="K14">
        <v>0</v>
      </c>
      <c r="L14" s="2">
        <v>337.75230315018541</v>
      </c>
    </row>
    <row r="15" spans="1:12" x14ac:dyDescent="0.2">
      <c r="A15" s="9"/>
      <c r="B15" s="9"/>
      <c r="C15" s="11"/>
      <c r="D15">
        <v>14</v>
      </c>
      <c r="E15">
        <v>0</v>
      </c>
      <c r="F15">
        <v>79.606078265952959</v>
      </c>
      <c r="G15">
        <v>0.3</v>
      </c>
      <c r="H15">
        <v>0</v>
      </c>
      <c r="I15">
        <v>1.95E-2</v>
      </c>
      <c r="J15">
        <v>0</v>
      </c>
      <c r="K15">
        <v>0</v>
      </c>
      <c r="L15" s="2">
        <v>395.46951895828391</v>
      </c>
    </row>
    <row r="16" spans="1:12" x14ac:dyDescent="0.2">
      <c r="A16" s="9"/>
      <c r="B16" s="9"/>
      <c r="C16" s="11"/>
      <c r="D16">
        <v>15</v>
      </c>
      <c r="E16">
        <v>0</v>
      </c>
      <c r="F16">
        <v>94.347114846838508</v>
      </c>
      <c r="G16">
        <v>0.3</v>
      </c>
      <c r="H16">
        <v>0</v>
      </c>
      <c r="I16">
        <v>1.95E-2</v>
      </c>
      <c r="J16">
        <v>0</v>
      </c>
      <c r="K16">
        <v>0</v>
      </c>
      <c r="L16" s="2">
        <v>410.79109366352492</v>
      </c>
    </row>
    <row r="17" spans="1:12" x14ac:dyDescent="0.2">
      <c r="A17" s="9"/>
      <c r="B17" s="9"/>
      <c r="C17" s="11"/>
      <c r="D17">
        <v>16</v>
      </c>
      <c r="E17">
        <v>0</v>
      </c>
      <c r="F17">
        <v>91.227533890813334</v>
      </c>
      <c r="G17">
        <v>0.3</v>
      </c>
      <c r="H17">
        <v>0</v>
      </c>
      <c r="I17">
        <v>1.95E-2</v>
      </c>
      <c r="J17">
        <v>0</v>
      </c>
      <c r="K17">
        <v>0</v>
      </c>
      <c r="L17" s="2">
        <v>404.58806722933679</v>
      </c>
    </row>
    <row r="18" spans="1:12" x14ac:dyDescent="0.2">
      <c r="A18" s="9"/>
      <c r="B18" s="9"/>
      <c r="C18" s="11"/>
      <c r="D18">
        <v>17</v>
      </c>
      <c r="E18">
        <v>0</v>
      </c>
      <c r="F18">
        <v>93.191730311008158</v>
      </c>
      <c r="G18">
        <v>0.3</v>
      </c>
      <c r="H18">
        <v>0</v>
      </c>
      <c r="I18">
        <v>1.95E-2</v>
      </c>
      <c r="J18">
        <v>0</v>
      </c>
      <c r="K18">
        <v>0</v>
      </c>
      <c r="L18" s="2">
        <v>441.08829636579009</v>
      </c>
    </row>
    <row r="19" spans="1:12" x14ac:dyDescent="0.2">
      <c r="A19" s="9"/>
      <c r="B19" s="9"/>
      <c r="C19" s="11"/>
      <c r="D19">
        <v>18</v>
      </c>
      <c r="E19">
        <v>0</v>
      </c>
      <c r="F19">
        <v>78.140866619972968</v>
      </c>
      <c r="G19">
        <v>0.3</v>
      </c>
      <c r="H19">
        <v>0</v>
      </c>
      <c r="I19">
        <v>1.95E-2</v>
      </c>
      <c r="J19">
        <v>0</v>
      </c>
      <c r="K19">
        <v>0</v>
      </c>
      <c r="L19" s="2">
        <v>407.63795058193392</v>
      </c>
    </row>
    <row r="20" spans="1:12" x14ac:dyDescent="0.2">
      <c r="A20" s="9"/>
      <c r="B20" s="9"/>
      <c r="C20" s="11"/>
      <c r="D20">
        <v>19</v>
      </c>
      <c r="E20">
        <v>0</v>
      </c>
      <c r="F20">
        <v>64.648477127971105</v>
      </c>
      <c r="G20">
        <v>0.3</v>
      </c>
      <c r="H20">
        <v>0</v>
      </c>
      <c r="I20">
        <v>1.95E-2</v>
      </c>
      <c r="J20">
        <v>0</v>
      </c>
      <c r="K20">
        <v>0</v>
      </c>
      <c r="L20" s="2">
        <v>328.15550887346672</v>
      </c>
    </row>
    <row r="21" spans="1:12" x14ac:dyDescent="0.2">
      <c r="A21" s="9"/>
      <c r="B21" s="9"/>
      <c r="C21" s="11"/>
      <c r="D21">
        <v>20</v>
      </c>
      <c r="E21">
        <v>0</v>
      </c>
      <c r="F21">
        <v>45.12350611254778</v>
      </c>
      <c r="G21">
        <v>0.3</v>
      </c>
      <c r="H21">
        <v>0</v>
      </c>
      <c r="I21">
        <v>1.95E-2</v>
      </c>
      <c r="J21">
        <v>0</v>
      </c>
      <c r="K21">
        <v>0</v>
      </c>
      <c r="L21" s="2">
        <v>236.96068323016769</v>
      </c>
    </row>
    <row r="22" spans="1:12" x14ac:dyDescent="0.2">
      <c r="A22" s="9"/>
      <c r="B22" s="9"/>
      <c r="C22" s="11"/>
      <c r="D22">
        <v>21</v>
      </c>
      <c r="E22">
        <v>0</v>
      </c>
      <c r="F22">
        <v>32.075259260474439</v>
      </c>
      <c r="G22">
        <v>0.3</v>
      </c>
      <c r="H22">
        <v>0</v>
      </c>
      <c r="I22">
        <v>1.95E-2</v>
      </c>
      <c r="J22">
        <v>0</v>
      </c>
      <c r="K22">
        <v>0</v>
      </c>
      <c r="L22" s="2">
        <v>171.78592252315701</v>
      </c>
    </row>
    <row r="23" spans="1:12" x14ac:dyDescent="0.2">
      <c r="A23" s="9"/>
      <c r="B23" s="9"/>
      <c r="C23" s="11"/>
      <c r="D23">
        <v>22</v>
      </c>
      <c r="E23">
        <v>0</v>
      </c>
      <c r="F23">
        <v>27.588586865238149</v>
      </c>
      <c r="G23">
        <v>0.3</v>
      </c>
      <c r="H23">
        <v>0</v>
      </c>
      <c r="I23">
        <v>1.95E-2</v>
      </c>
      <c r="J23">
        <v>0</v>
      </c>
      <c r="K23">
        <v>0</v>
      </c>
      <c r="L23" s="2">
        <v>135.3597679271351</v>
      </c>
    </row>
    <row r="24" spans="1:12" x14ac:dyDescent="0.2">
      <c r="A24" s="9"/>
      <c r="B24" s="9"/>
      <c r="C24" s="11"/>
      <c r="D24">
        <v>23</v>
      </c>
      <c r="E24">
        <v>0</v>
      </c>
      <c r="F24">
        <v>0</v>
      </c>
      <c r="G24">
        <v>0.3</v>
      </c>
      <c r="H24">
        <v>0</v>
      </c>
      <c r="I24">
        <v>1.95E-2</v>
      </c>
      <c r="J24">
        <v>0</v>
      </c>
      <c r="K24">
        <v>0</v>
      </c>
      <c r="L24" s="2">
        <v>0</v>
      </c>
    </row>
    <row r="25" spans="1:12" x14ac:dyDescent="0.2">
      <c r="A25" s="9"/>
      <c r="B25" s="9"/>
      <c r="C25" s="11"/>
      <c r="D25">
        <v>24</v>
      </c>
      <c r="E25">
        <v>0</v>
      </c>
      <c r="F25">
        <v>0</v>
      </c>
      <c r="G25">
        <v>0.3</v>
      </c>
      <c r="H25">
        <v>0</v>
      </c>
      <c r="I25">
        <v>1.95E-2</v>
      </c>
      <c r="J25">
        <v>0</v>
      </c>
      <c r="K25">
        <v>0</v>
      </c>
      <c r="L25" s="2">
        <v>0</v>
      </c>
    </row>
    <row r="26" spans="1:12" x14ac:dyDescent="0.2">
      <c r="A26" s="9"/>
      <c r="B26" s="9"/>
      <c r="C26" s="10">
        <v>2</v>
      </c>
      <c r="D26">
        <v>1</v>
      </c>
      <c r="E26">
        <v>0</v>
      </c>
      <c r="F26">
        <v>4.3603355354255262</v>
      </c>
      <c r="G26">
        <v>0.3</v>
      </c>
      <c r="H26">
        <v>0</v>
      </c>
      <c r="I26">
        <v>1.95E-2</v>
      </c>
      <c r="J26">
        <v>0</v>
      </c>
      <c r="K26">
        <v>0</v>
      </c>
      <c r="L26" s="2">
        <v>22.654251603633231</v>
      </c>
    </row>
    <row r="27" spans="1:12" x14ac:dyDescent="0.2">
      <c r="A27" s="9"/>
      <c r="B27" s="9"/>
      <c r="C27" s="11"/>
      <c r="D27">
        <v>2</v>
      </c>
      <c r="E27">
        <v>0</v>
      </c>
      <c r="F27">
        <v>3.6714477829500001</v>
      </c>
      <c r="G27">
        <v>0.3</v>
      </c>
      <c r="H27">
        <v>0</v>
      </c>
      <c r="I27">
        <v>1.95E-2</v>
      </c>
      <c r="J27">
        <v>0</v>
      </c>
      <c r="K27">
        <v>0</v>
      </c>
      <c r="L27" s="2">
        <v>16.60123445317992</v>
      </c>
    </row>
    <row r="28" spans="1:12" x14ac:dyDescent="0.2">
      <c r="A28" s="9"/>
      <c r="B28" s="9"/>
      <c r="C28" s="11"/>
      <c r="D28">
        <v>3</v>
      </c>
      <c r="E28">
        <v>0</v>
      </c>
      <c r="F28">
        <v>3.2175164818997368</v>
      </c>
      <c r="G28">
        <v>0.3</v>
      </c>
      <c r="H28">
        <v>0</v>
      </c>
      <c r="I28">
        <v>1.95E-2</v>
      </c>
      <c r="J28">
        <v>0</v>
      </c>
      <c r="K28">
        <v>0</v>
      </c>
      <c r="L28" s="2">
        <v>15.07661010513144</v>
      </c>
    </row>
    <row r="29" spans="1:12" x14ac:dyDescent="0.2">
      <c r="A29" s="9"/>
      <c r="B29" s="9"/>
      <c r="C29" s="11"/>
      <c r="D29">
        <v>4</v>
      </c>
      <c r="E29">
        <v>0</v>
      </c>
      <c r="F29">
        <v>6.0127551428315789</v>
      </c>
      <c r="G29">
        <v>0.3</v>
      </c>
      <c r="H29">
        <v>0</v>
      </c>
      <c r="I29">
        <v>1.95E-2</v>
      </c>
      <c r="J29">
        <v>0</v>
      </c>
      <c r="K29">
        <v>0</v>
      </c>
      <c r="L29" s="2">
        <v>24.429215881077479</v>
      </c>
    </row>
    <row r="30" spans="1:12" x14ac:dyDescent="0.2">
      <c r="A30" s="9"/>
      <c r="B30" s="9"/>
      <c r="C30" s="11"/>
      <c r="D30">
        <v>5</v>
      </c>
      <c r="E30">
        <v>0</v>
      </c>
      <c r="F30">
        <v>8.9822413696800005</v>
      </c>
      <c r="G30">
        <v>0.3</v>
      </c>
      <c r="H30">
        <v>0</v>
      </c>
      <c r="I30">
        <v>1.95E-2</v>
      </c>
      <c r="J30">
        <v>0</v>
      </c>
      <c r="K30">
        <v>0</v>
      </c>
      <c r="L30" s="2">
        <v>34.388271367301883</v>
      </c>
    </row>
    <row r="31" spans="1:12" x14ac:dyDescent="0.2">
      <c r="A31" s="9"/>
      <c r="B31" s="9"/>
      <c r="C31" s="11"/>
      <c r="D31">
        <v>6</v>
      </c>
      <c r="E31">
        <v>0</v>
      </c>
      <c r="F31">
        <v>19.781207661895259</v>
      </c>
      <c r="G31">
        <v>0.3</v>
      </c>
      <c r="H31">
        <v>0</v>
      </c>
      <c r="I31">
        <v>1.95E-2</v>
      </c>
      <c r="J31">
        <v>0</v>
      </c>
      <c r="K31">
        <v>0</v>
      </c>
      <c r="L31" s="2">
        <v>109.13837278786259</v>
      </c>
    </row>
    <row r="32" spans="1:12" x14ac:dyDescent="0.2">
      <c r="A32" s="9"/>
      <c r="B32" s="9"/>
      <c r="C32" s="11"/>
      <c r="D32">
        <v>7</v>
      </c>
      <c r="E32">
        <v>0</v>
      </c>
      <c r="F32">
        <v>75.960517110698419</v>
      </c>
      <c r="G32">
        <v>0.3</v>
      </c>
      <c r="H32">
        <v>0</v>
      </c>
      <c r="I32">
        <v>1.95E-2</v>
      </c>
      <c r="J32">
        <v>0</v>
      </c>
      <c r="K32">
        <v>0</v>
      </c>
      <c r="L32" s="2">
        <v>340.02924664846171</v>
      </c>
    </row>
    <row r="33" spans="1:12" x14ac:dyDescent="0.2">
      <c r="A33" s="9"/>
      <c r="B33" s="9"/>
      <c r="C33" s="11"/>
      <c r="D33">
        <v>8</v>
      </c>
      <c r="E33">
        <v>0</v>
      </c>
      <c r="F33">
        <v>88.786531383909207</v>
      </c>
      <c r="G33">
        <v>0.3</v>
      </c>
      <c r="H33">
        <v>0</v>
      </c>
      <c r="I33">
        <v>1.95E-2</v>
      </c>
      <c r="J33">
        <v>0</v>
      </c>
      <c r="K33">
        <v>0</v>
      </c>
      <c r="L33" s="2">
        <v>430.57525776102358</v>
      </c>
    </row>
    <row r="34" spans="1:12" x14ac:dyDescent="0.2">
      <c r="A34" s="9"/>
      <c r="B34" s="9"/>
      <c r="C34" s="11"/>
      <c r="D34">
        <v>9</v>
      </c>
      <c r="E34">
        <v>0</v>
      </c>
      <c r="F34">
        <v>68.180690440370526</v>
      </c>
      <c r="G34">
        <v>0.3</v>
      </c>
      <c r="H34">
        <v>0</v>
      </c>
      <c r="I34">
        <v>1.95E-2</v>
      </c>
      <c r="J34">
        <v>0</v>
      </c>
      <c r="K34">
        <v>0</v>
      </c>
      <c r="L34" s="2">
        <v>313.93728340496392</v>
      </c>
    </row>
    <row r="35" spans="1:12" x14ac:dyDescent="0.2">
      <c r="A35" s="9"/>
      <c r="B35" s="9"/>
      <c r="C35" s="11"/>
      <c r="D35">
        <v>10</v>
      </c>
      <c r="E35">
        <v>0</v>
      </c>
      <c r="F35">
        <v>53.353232896403952</v>
      </c>
      <c r="G35">
        <v>0.3</v>
      </c>
      <c r="H35">
        <v>0</v>
      </c>
      <c r="I35">
        <v>1.95E-2</v>
      </c>
      <c r="J35">
        <v>0</v>
      </c>
      <c r="K35">
        <v>0</v>
      </c>
      <c r="L35" s="2">
        <v>260.32622516580659</v>
      </c>
    </row>
    <row r="36" spans="1:12" x14ac:dyDescent="0.2">
      <c r="A36" s="9"/>
      <c r="B36" s="9"/>
      <c r="C36" s="11"/>
      <c r="D36">
        <v>11</v>
      </c>
      <c r="E36">
        <v>0</v>
      </c>
      <c r="F36">
        <v>50.703170186583677</v>
      </c>
      <c r="G36">
        <v>0.3</v>
      </c>
      <c r="H36">
        <v>0</v>
      </c>
      <c r="I36">
        <v>1.95E-2</v>
      </c>
      <c r="J36">
        <v>0</v>
      </c>
      <c r="K36">
        <v>0</v>
      </c>
      <c r="L36" s="2">
        <v>251.42542867545609</v>
      </c>
    </row>
    <row r="37" spans="1:12" x14ac:dyDescent="0.2">
      <c r="A37" s="9"/>
      <c r="B37" s="9"/>
      <c r="C37" s="11"/>
      <c r="D37">
        <v>12</v>
      </c>
      <c r="E37">
        <v>0</v>
      </c>
      <c r="F37">
        <v>66.45271132215737</v>
      </c>
      <c r="G37">
        <v>0.3</v>
      </c>
      <c r="H37">
        <v>0</v>
      </c>
      <c r="I37">
        <v>1.95E-2</v>
      </c>
      <c r="J37">
        <v>0</v>
      </c>
      <c r="K37">
        <v>0</v>
      </c>
      <c r="L37" s="2">
        <v>351.29249616313223</v>
      </c>
    </row>
    <row r="38" spans="1:12" x14ac:dyDescent="0.2">
      <c r="A38" s="9"/>
      <c r="B38" s="9"/>
      <c r="C38" s="11"/>
      <c r="D38">
        <v>13</v>
      </c>
      <c r="E38">
        <v>0</v>
      </c>
      <c r="F38">
        <v>58.328337105666577</v>
      </c>
      <c r="G38">
        <v>0.3</v>
      </c>
      <c r="H38">
        <v>0</v>
      </c>
      <c r="I38">
        <v>1.95E-2</v>
      </c>
      <c r="J38">
        <v>0</v>
      </c>
      <c r="K38">
        <v>0</v>
      </c>
      <c r="L38" s="2">
        <v>319.73516583170021</v>
      </c>
    </row>
    <row r="39" spans="1:12" x14ac:dyDescent="0.2">
      <c r="A39" s="9"/>
      <c r="B39" s="9"/>
      <c r="C39" s="11"/>
      <c r="D39">
        <v>14</v>
      </c>
      <c r="E39">
        <v>0</v>
      </c>
      <c r="F39">
        <v>66.358228990445795</v>
      </c>
      <c r="G39">
        <v>0.3</v>
      </c>
      <c r="H39">
        <v>0</v>
      </c>
      <c r="I39">
        <v>1.95E-2</v>
      </c>
      <c r="J39">
        <v>0</v>
      </c>
      <c r="K39">
        <v>0</v>
      </c>
      <c r="L39" s="2">
        <v>350.97515725512</v>
      </c>
    </row>
    <row r="40" spans="1:12" x14ac:dyDescent="0.2">
      <c r="A40" s="9"/>
      <c r="B40" s="9"/>
      <c r="C40" s="11"/>
      <c r="D40">
        <v>15</v>
      </c>
      <c r="E40">
        <v>0</v>
      </c>
      <c r="F40">
        <v>53.932251826761842</v>
      </c>
      <c r="G40">
        <v>0.3</v>
      </c>
      <c r="H40">
        <v>0</v>
      </c>
      <c r="I40">
        <v>1.95E-2</v>
      </c>
      <c r="J40">
        <v>0</v>
      </c>
      <c r="K40">
        <v>0</v>
      </c>
      <c r="L40" s="2">
        <v>274.67821101294783</v>
      </c>
    </row>
    <row r="41" spans="1:12" x14ac:dyDescent="0.2">
      <c r="A41" s="9"/>
      <c r="B41" s="9"/>
      <c r="C41" s="11"/>
      <c r="D41">
        <v>16</v>
      </c>
      <c r="E41">
        <v>0</v>
      </c>
      <c r="F41">
        <v>66.586772361877365</v>
      </c>
      <c r="G41">
        <v>0.3</v>
      </c>
      <c r="H41">
        <v>0</v>
      </c>
      <c r="I41">
        <v>1.95E-2</v>
      </c>
      <c r="J41">
        <v>0</v>
      </c>
      <c r="K41">
        <v>0</v>
      </c>
      <c r="L41" s="2">
        <v>321.85346839158598</v>
      </c>
    </row>
    <row r="42" spans="1:12" x14ac:dyDescent="0.2">
      <c r="A42" s="9"/>
      <c r="B42" s="9"/>
      <c r="C42" s="11"/>
      <c r="D42">
        <v>17</v>
      </c>
      <c r="E42">
        <v>0</v>
      </c>
      <c r="F42">
        <v>93.730452411731321</v>
      </c>
      <c r="G42">
        <v>0.3</v>
      </c>
      <c r="H42">
        <v>0</v>
      </c>
      <c r="I42">
        <v>1.95E-2</v>
      </c>
      <c r="J42">
        <v>0</v>
      </c>
      <c r="K42">
        <v>0</v>
      </c>
      <c r="L42" s="2">
        <v>442.91056288097741</v>
      </c>
    </row>
    <row r="43" spans="1:12" x14ac:dyDescent="0.2">
      <c r="A43" s="9"/>
      <c r="B43" s="9"/>
      <c r="C43" s="11"/>
      <c r="D43">
        <v>18</v>
      </c>
      <c r="E43">
        <v>0</v>
      </c>
      <c r="F43">
        <v>111.1637173337392</v>
      </c>
      <c r="G43">
        <v>0.3</v>
      </c>
      <c r="H43">
        <v>0</v>
      </c>
      <c r="I43">
        <v>1.95E-2</v>
      </c>
      <c r="J43">
        <v>0</v>
      </c>
      <c r="K43">
        <v>0</v>
      </c>
      <c r="L43" s="2">
        <v>518.54347291435238</v>
      </c>
    </row>
    <row r="44" spans="1:12" x14ac:dyDescent="0.2">
      <c r="A44" s="9"/>
      <c r="B44" s="9"/>
      <c r="C44" s="11"/>
      <c r="D44">
        <v>19</v>
      </c>
      <c r="E44">
        <v>0</v>
      </c>
      <c r="F44">
        <v>91.592389305237106</v>
      </c>
      <c r="G44">
        <v>0.3</v>
      </c>
      <c r="H44">
        <v>0</v>
      </c>
      <c r="I44">
        <v>1.95E-2</v>
      </c>
      <c r="J44">
        <v>0</v>
      </c>
      <c r="K44">
        <v>0</v>
      </c>
      <c r="L44" s="2">
        <v>418.64982533780369</v>
      </c>
    </row>
    <row r="45" spans="1:12" x14ac:dyDescent="0.2">
      <c r="A45" s="9"/>
      <c r="B45" s="9"/>
      <c r="C45" s="11"/>
      <c r="D45">
        <v>20</v>
      </c>
      <c r="E45">
        <v>0</v>
      </c>
      <c r="F45">
        <v>54.580125377457357</v>
      </c>
      <c r="G45">
        <v>0.3</v>
      </c>
      <c r="H45">
        <v>0</v>
      </c>
      <c r="I45">
        <v>1.95E-2</v>
      </c>
      <c r="J45">
        <v>0</v>
      </c>
      <c r="K45">
        <v>0</v>
      </c>
      <c r="L45" s="2">
        <v>268.71690325329757</v>
      </c>
    </row>
    <row r="46" spans="1:12" x14ac:dyDescent="0.2">
      <c r="A46" s="9"/>
      <c r="B46" s="9"/>
      <c r="C46" s="11"/>
      <c r="D46">
        <v>21</v>
      </c>
      <c r="E46">
        <v>0</v>
      </c>
      <c r="F46">
        <v>33.305885685895262</v>
      </c>
      <c r="G46">
        <v>0.3</v>
      </c>
      <c r="H46">
        <v>0</v>
      </c>
      <c r="I46">
        <v>1.95E-2</v>
      </c>
      <c r="J46">
        <v>0</v>
      </c>
      <c r="K46">
        <v>0</v>
      </c>
      <c r="L46" s="2">
        <v>175.91336650225199</v>
      </c>
    </row>
    <row r="47" spans="1:12" x14ac:dyDescent="0.2">
      <c r="A47" s="9"/>
      <c r="B47" s="9"/>
      <c r="C47" s="11"/>
      <c r="D47">
        <v>22</v>
      </c>
      <c r="E47">
        <v>0</v>
      </c>
      <c r="F47">
        <v>29.159482286374999</v>
      </c>
      <c r="G47">
        <v>0.3</v>
      </c>
      <c r="H47">
        <v>0</v>
      </c>
      <c r="I47">
        <v>1.95E-2</v>
      </c>
      <c r="J47">
        <v>0</v>
      </c>
      <c r="K47">
        <v>0</v>
      </c>
      <c r="L47" s="2">
        <v>138.14997260292591</v>
      </c>
    </row>
    <row r="48" spans="1:12" x14ac:dyDescent="0.2">
      <c r="A48" s="9"/>
      <c r="B48" s="9"/>
      <c r="C48" s="11"/>
      <c r="D48">
        <v>23</v>
      </c>
      <c r="E48">
        <v>0</v>
      </c>
      <c r="F48">
        <v>0</v>
      </c>
      <c r="G48">
        <v>0.3</v>
      </c>
      <c r="H48">
        <v>0</v>
      </c>
      <c r="I48">
        <v>1.95E-2</v>
      </c>
      <c r="J48">
        <v>0</v>
      </c>
      <c r="K48">
        <v>0</v>
      </c>
      <c r="L48" s="2">
        <v>0</v>
      </c>
    </row>
    <row r="49" spans="1:12" x14ac:dyDescent="0.2">
      <c r="A49" s="9"/>
      <c r="B49" s="9"/>
      <c r="C49" s="11"/>
      <c r="D49">
        <v>24</v>
      </c>
      <c r="E49">
        <v>0</v>
      </c>
      <c r="F49">
        <v>0</v>
      </c>
      <c r="G49">
        <v>0.3</v>
      </c>
      <c r="H49">
        <v>0</v>
      </c>
      <c r="I49">
        <v>1.95E-2</v>
      </c>
      <c r="J49">
        <v>0</v>
      </c>
      <c r="K49">
        <v>0</v>
      </c>
      <c r="L49" s="2">
        <v>0</v>
      </c>
    </row>
    <row r="50" spans="1:12" x14ac:dyDescent="0.2">
      <c r="A50" s="9"/>
      <c r="B50" s="9"/>
      <c r="C50" s="10">
        <v>3</v>
      </c>
      <c r="D50">
        <v>1</v>
      </c>
      <c r="E50">
        <v>0</v>
      </c>
      <c r="F50">
        <v>16.46025999860619</v>
      </c>
      <c r="G50">
        <v>0.3</v>
      </c>
      <c r="H50">
        <v>0</v>
      </c>
      <c r="I50">
        <v>1.95E-2</v>
      </c>
      <c r="J50">
        <v>0</v>
      </c>
      <c r="K50">
        <v>0</v>
      </c>
      <c r="L50" s="2">
        <v>63.815527957273211</v>
      </c>
    </row>
    <row r="51" spans="1:12" x14ac:dyDescent="0.2">
      <c r="A51" s="9"/>
      <c r="B51" s="9"/>
      <c r="C51" s="11"/>
      <c r="D51">
        <v>2</v>
      </c>
      <c r="E51">
        <v>0</v>
      </c>
      <c r="F51">
        <v>12.65461334560381</v>
      </c>
      <c r="G51">
        <v>0.3</v>
      </c>
      <c r="H51">
        <v>0</v>
      </c>
      <c r="I51">
        <v>1.95E-2</v>
      </c>
      <c r="J51">
        <v>0</v>
      </c>
      <c r="K51">
        <v>0</v>
      </c>
      <c r="L51" s="2">
        <v>46.764579113363702</v>
      </c>
    </row>
    <row r="52" spans="1:12" x14ac:dyDescent="0.2">
      <c r="A52" s="9"/>
      <c r="B52" s="9"/>
      <c r="C52" s="11"/>
      <c r="D52">
        <v>3</v>
      </c>
      <c r="E52">
        <v>0</v>
      </c>
      <c r="F52">
        <v>12.52540210947476</v>
      </c>
      <c r="G52">
        <v>0.3</v>
      </c>
      <c r="H52">
        <v>0</v>
      </c>
      <c r="I52">
        <v>1.95E-2</v>
      </c>
      <c r="J52">
        <v>0</v>
      </c>
      <c r="K52">
        <v>0</v>
      </c>
      <c r="L52" s="2">
        <v>46.330705302966543</v>
      </c>
    </row>
    <row r="53" spans="1:12" x14ac:dyDescent="0.2">
      <c r="A53" s="9"/>
      <c r="B53" s="9"/>
      <c r="C53" s="11"/>
      <c r="D53">
        <v>4</v>
      </c>
      <c r="E53">
        <v>0</v>
      </c>
      <c r="F53">
        <v>7.8360985953542848</v>
      </c>
      <c r="G53">
        <v>0.3</v>
      </c>
      <c r="H53">
        <v>0</v>
      </c>
      <c r="I53">
        <v>1.95E-2</v>
      </c>
      <c r="J53">
        <v>0</v>
      </c>
      <c r="K53">
        <v>0</v>
      </c>
      <c r="L53" s="2">
        <v>30.584659953250441</v>
      </c>
    </row>
    <row r="54" spans="1:12" x14ac:dyDescent="0.2">
      <c r="A54" s="9"/>
      <c r="B54" s="9"/>
      <c r="C54" s="11"/>
      <c r="D54">
        <v>5</v>
      </c>
      <c r="E54">
        <v>0</v>
      </c>
      <c r="F54">
        <v>6.6859499138238094</v>
      </c>
      <c r="G54">
        <v>0.3</v>
      </c>
      <c r="H54">
        <v>0</v>
      </c>
      <c r="I54">
        <v>1.95E-2</v>
      </c>
      <c r="J54">
        <v>0</v>
      </c>
      <c r="K54">
        <v>0</v>
      </c>
      <c r="L54" s="2">
        <v>26.722616636207519</v>
      </c>
    </row>
    <row r="55" spans="1:12" x14ac:dyDescent="0.2">
      <c r="A55" s="9"/>
      <c r="B55" s="9"/>
      <c r="C55" s="11"/>
      <c r="D55">
        <v>6</v>
      </c>
      <c r="E55">
        <v>0</v>
      </c>
      <c r="F55">
        <v>1.010851477385714</v>
      </c>
      <c r="G55">
        <v>0.3</v>
      </c>
      <c r="H55">
        <v>0</v>
      </c>
      <c r="I55">
        <v>1.95E-2</v>
      </c>
      <c r="J55">
        <v>0</v>
      </c>
      <c r="K55">
        <v>0</v>
      </c>
      <c r="L55" s="2">
        <v>46.11533632877503</v>
      </c>
    </row>
    <row r="56" spans="1:12" x14ac:dyDescent="0.2">
      <c r="A56" s="9"/>
      <c r="B56" s="9"/>
      <c r="C56" s="11"/>
      <c r="D56">
        <v>7</v>
      </c>
      <c r="E56">
        <v>0</v>
      </c>
      <c r="F56">
        <v>0</v>
      </c>
      <c r="G56">
        <v>0.3</v>
      </c>
      <c r="H56">
        <v>0</v>
      </c>
      <c r="I56">
        <v>1.95E-2</v>
      </c>
      <c r="J56">
        <v>0</v>
      </c>
      <c r="K56">
        <v>0</v>
      </c>
      <c r="L56" s="2">
        <v>81.047990810816273</v>
      </c>
    </row>
    <row r="57" spans="1:12" x14ac:dyDescent="0.2">
      <c r="A57" s="9"/>
      <c r="B57" s="9"/>
      <c r="C57" s="11"/>
      <c r="D57">
        <v>8</v>
      </c>
      <c r="E57">
        <v>0</v>
      </c>
      <c r="F57">
        <v>14.50073293735095</v>
      </c>
      <c r="G57">
        <v>0.3</v>
      </c>
      <c r="H57">
        <v>0</v>
      </c>
      <c r="I57">
        <v>1.95E-2</v>
      </c>
      <c r="J57">
        <v>0</v>
      </c>
      <c r="K57">
        <v>0</v>
      </c>
      <c r="L57" s="2">
        <v>181.1267007813839</v>
      </c>
    </row>
    <row r="58" spans="1:12" x14ac:dyDescent="0.2">
      <c r="A58" s="9"/>
      <c r="B58" s="9"/>
      <c r="C58" s="11"/>
      <c r="D58">
        <v>9</v>
      </c>
      <c r="E58">
        <v>0</v>
      </c>
      <c r="F58">
        <v>68.613206875562852</v>
      </c>
      <c r="G58">
        <v>0.3</v>
      </c>
      <c r="H58">
        <v>0</v>
      </c>
      <c r="I58">
        <v>1.95E-2</v>
      </c>
      <c r="J58">
        <v>0</v>
      </c>
      <c r="K58">
        <v>0</v>
      </c>
      <c r="L58" s="2">
        <v>315.8359132834031</v>
      </c>
    </row>
    <row r="59" spans="1:12" x14ac:dyDescent="0.2">
      <c r="A59" s="9"/>
      <c r="B59" s="9"/>
      <c r="C59" s="11"/>
      <c r="D59">
        <v>10</v>
      </c>
      <c r="E59">
        <v>0</v>
      </c>
      <c r="F59">
        <v>106.8605053096809</v>
      </c>
      <c r="G59">
        <v>0.3</v>
      </c>
      <c r="H59">
        <v>0</v>
      </c>
      <c r="I59">
        <v>1.95E-2</v>
      </c>
      <c r="J59">
        <v>0</v>
      </c>
      <c r="K59">
        <v>0</v>
      </c>
      <c r="L59" s="2">
        <v>439.99305183178672</v>
      </c>
    </row>
    <row r="60" spans="1:12" x14ac:dyDescent="0.2">
      <c r="A60" s="9"/>
      <c r="B60" s="9"/>
      <c r="C60" s="11"/>
      <c r="D60">
        <v>11</v>
      </c>
      <c r="E60">
        <v>0</v>
      </c>
      <c r="F60">
        <v>113.3849910168253</v>
      </c>
      <c r="G60">
        <v>0.3</v>
      </c>
      <c r="H60">
        <v>0</v>
      </c>
      <c r="I60">
        <v>1.95E-2</v>
      </c>
      <c r="J60">
        <v>0</v>
      </c>
      <c r="K60">
        <v>0</v>
      </c>
      <c r="L60" s="2">
        <v>461.90139014235018</v>
      </c>
    </row>
    <row r="61" spans="1:12" x14ac:dyDescent="0.2">
      <c r="A61" s="9"/>
      <c r="B61" s="9"/>
      <c r="C61" s="11"/>
      <c r="D61">
        <v>12</v>
      </c>
      <c r="E61">
        <v>0</v>
      </c>
      <c r="F61">
        <v>78.028556673210005</v>
      </c>
      <c r="G61">
        <v>0.3</v>
      </c>
      <c r="H61">
        <v>0</v>
      </c>
      <c r="I61">
        <v>1.95E-2</v>
      </c>
      <c r="J61">
        <v>0</v>
      </c>
      <c r="K61">
        <v>0</v>
      </c>
      <c r="L61" s="2">
        <v>390.17241535543758</v>
      </c>
    </row>
    <row r="62" spans="1:12" x14ac:dyDescent="0.2">
      <c r="A62" s="9"/>
      <c r="B62" s="9"/>
      <c r="C62" s="11"/>
      <c r="D62">
        <v>13</v>
      </c>
      <c r="E62">
        <v>0</v>
      </c>
      <c r="F62">
        <v>63.689678446297613</v>
      </c>
      <c r="G62">
        <v>0.3</v>
      </c>
      <c r="H62">
        <v>0</v>
      </c>
      <c r="I62">
        <v>1.95E-2</v>
      </c>
      <c r="J62">
        <v>0</v>
      </c>
      <c r="K62">
        <v>0</v>
      </c>
      <c r="L62" s="2">
        <v>337.75230315018541</v>
      </c>
    </row>
    <row r="63" spans="1:12" x14ac:dyDescent="0.2">
      <c r="A63" s="9"/>
      <c r="B63" s="9"/>
      <c r="C63" s="11"/>
      <c r="D63">
        <v>14</v>
      </c>
      <c r="E63">
        <v>0</v>
      </c>
      <c r="F63">
        <v>79.606078265952846</v>
      </c>
      <c r="G63">
        <v>0.3</v>
      </c>
      <c r="H63">
        <v>0</v>
      </c>
      <c r="I63">
        <v>1.95E-2</v>
      </c>
      <c r="J63">
        <v>0</v>
      </c>
      <c r="K63">
        <v>0</v>
      </c>
      <c r="L63" s="2">
        <v>395.46951895828391</v>
      </c>
    </row>
    <row r="64" spans="1:12" x14ac:dyDescent="0.2">
      <c r="A64" s="9"/>
      <c r="B64" s="9"/>
      <c r="C64" s="11"/>
      <c r="D64">
        <v>15</v>
      </c>
      <c r="E64">
        <v>0</v>
      </c>
      <c r="F64">
        <v>94.347114846838565</v>
      </c>
      <c r="G64">
        <v>0.3</v>
      </c>
      <c r="H64">
        <v>0</v>
      </c>
      <c r="I64">
        <v>1.95E-2</v>
      </c>
      <c r="J64">
        <v>0</v>
      </c>
      <c r="K64">
        <v>0</v>
      </c>
      <c r="L64" s="2">
        <v>410.79109366352492</v>
      </c>
    </row>
    <row r="65" spans="1:12" x14ac:dyDescent="0.2">
      <c r="A65" s="9"/>
      <c r="B65" s="9"/>
      <c r="C65" s="11"/>
      <c r="D65">
        <v>16</v>
      </c>
      <c r="E65">
        <v>0</v>
      </c>
      <c r="F65">
        <v>91.227533890813334</v>
      </c>
      <c r="G65">
        <v>0.3</v>
      </c>
      <c r="H65">
        <v>0</v>
      </c>
      <c r="I65">
        <v>1.95E-2</v>
      </c>
      <c r="J65">
        <v>0</v>
      </c>
      <c r="K65">
        <v>0</v>
      </c>
      <c r="L65" s="2">
        <v>404.58806722933679</v>
      </c>
    </row>
    <row r="66" spans="1:12" x14ac:dyDescent="0.2">
      <c r="A66" s="9"/>
      <c r="B66" s="9"/>
      <c r="C66" s="11"/>
      <c r="D66">
        <v>17</v>
      </c>
      <c r="E66">
        <v>0</v>
      </c>
      <c r="F66">
        <v>93.191730311008101</v>
      </c>
      <c r="G66">
        <v>0.3</v>
      </c>
      <c r="H66">
        <v>0</v>
      </c>
      <c r="I66">
        <v>1.95E-2</v>
      </c>
      <c r="J66">
        <v>0</v>
      </c>
      <c r="K66">
        <v>0</v>
      </c>
      <c r="L66" s="2">
        <v>441.08829636579009</v>
      </c>
    </row>
    <row r="67" spans="1:12" x14ac:dyDescent="0.2">
      <c r="A67" s="9"/>
      <c r="B67" s="9"/>
      <c r="C67" s="11"/>
      <c r="D67">
        <v>18</v>
      </c>
      <c r="E67">
        <v>0</v>
      </c>
      <c r="F67">
        <v>78.140866619972854</v>
      </c>
      <c r="G67">
        <v>0.3</v>
      </c>
      <c r="H67">
        <v>0</v>
      </c>
      <c r="I67">
        <v>1.95E-2</v>
      </c>
      <c r="J67">
        <v>0</v>
      </c>
      <c r="K67">
        <v>0</v>
      </c>
      <c r="L67" s="2">
        <v>407.63795058193392</v>
      </c>
    </row>
    <row r="68" spans="1:12" x14ac:dyDescent="0.2">
      <c r="A68" s="9"/>
      <c r="B68" s="9"/>
      <c r="C68" s="11"/>
      <c r="D68">
        <v>19</v>
      </c>
      <c r="E68">
        <v>0</v>
      </c>
      <c r="F68">
        <v>64.648477127971432</v>
      </c>
      <c r="G68">
        <v>0.3</v>
      </c>
      <c r="H68">
        <v>0</v>
      </c>
      <c r="I68">
        <v>1.95E-2</v>
      </c>
      <c r="J68">
        <v>0</v>
      </c>
      <c r="K68">
        <v>0</v>
      </c>
      <c r="L68" s="2">
        <v>328.15550887346672</v>
      </c>
    </row>
    <row r="69" spans="1:12" x14ac:dyDescent="0.2">
      <c r="A69" s="9"/>
      <c r="B69" s="9"/>
      <c r="C69" s="11"/>
      <c r="D69">
        <v>20</v>
      </c>
      <c r="E69">
        <v>0</v>
      </c>
      <c r="F69">
        <v>45.123506112547616</v>
      </c>
      <c r="G69">
        <v>0.3</v>
      </c>
      <c r="H69">
        <v>0</v>
      </c>
      <c r="I69">
        <v>1.95E-2</v>
      </c>
      <c r="J69">
        <v>0</v>
      </c>
      <c r="K69">
        <v>0</v>
      </c>
      <c r="L69" s="2">
        <v>236.96068323016769</v>
      </c>
    </row>
    <row r="70" spans="1:12" x14ac:dyDescent="0.2">
      <c r="A70" s="9"/>
      <c r="B70" s="9"/>
      <c r="C70" s="11"/>
      <c r="D70">
        <v>21</v>
      </c>
      <c r="E70">
        <v>0</v>
      </c>
      <c r="F70">
        <v>32.075259260474283</v>
      </c>
      <c r="G70">
        <v>0.3</v>
      </c>
      <c r="H70">
        <v>0</v>
      </c>
      <c r="I70">
        <v>1.95E-2</v>
      </c>
      <c r="J70">
        <v>0</v>
      </c>
      <c r="K70">
        <v>0</v>
      </c>
      <c r="L70" s="2">
        <v>171.78592252315701</v>
      </c>
    </row>
    <row r="71" spans="1:12" x14ac:dyDescent="0.2">
      <c r="A71" s="9"/>
      <c r="B71" s="9"/>
      <c r="C71" s="11"/>
      <c r="D71">
        <v>22</v>
      </c>
      <c r="E71">
        <v>0</v>
      </c>
      <c r="F71">
        <v>27.588586865238099</v>
      </c>
      <c r="G71">
        <v>0.3</v>
      </c>
      <c r="H71">
        <v>0</v>
      </c>
      <c r="I71">
        <v>1.95E-2</v>
      </c>
      <c r="J71">
        <v>0</v>
      </c>
      <c r="K71">
        <v>0</v>
      </c>
      <c r="L71" s="2">
        <v>135.3597679271351</v>
      </c>
    </row>
    <row r="72" spans="1:12" x14ac:dyDescent="0.2">
      <c r="A72" s="9"/>
      <c r="B72" s="9"/>
      <c r="C72" s="11"/>
      <c r="D72">
        <v>23</v>
      </c>
      <c r="E72">
        <v>0</v>
      </c>
      <c r="F72">
        <v>0</v>
      </c>
      <c r="G72">
        <v>0.3</v>
      </c>
      <c r="H72">
        <v>0</v>
      </c>
      <c r="I72">
        <v>1.95E-2</v>
      </c>
      <c r="J72">
        <v>0</v>
      </c>
      <c r="K72">
        <v>0</v>
      </c>
      <c r="L72" s="2">
        <v>0</v>
      </c>
    </row>
    <row r="73" spans="1:12" x14ac:dyDescent="0.2">
      <c r="A73" s="9"/>
      <c r="B73" s="9"/>
      <c r="C73" s="11"/>
      <c r="D73">
        <v>24</v>
      </c>
      <c r="E73">
        <v>0</v>
      </c>
      <c r="F73">
        <v>0</v>
      </c>
      <c r="G73">
        <v>0.3</v>
      </c>
      <c r="H73">
        <v>0</v>
      </c>
      <c r="I73">
        <v>1.95E-2</v>
      </c>
      <c r="J73">
        <v>0</v>
      </c>
      <c r="K73">
        <v>0</v>
      </c>
      <c r="L73" s="2">
        <v>0</v>
      </c>
    </row>
    <row r="74" spans="1:12" x14ac:dyDescent="0.2">
      <c r="A74" s="9"/>
      <c r="B74" s="9"/>
      <c r="C74" s="10">
        <v>4</v>
      </c>
      <c r="D74">
        <v>1</v>
      </c>
      <c r="E74">
        <v>0</v>
      </c>
      <c r="F74">
        <v>16.460259998606311</v>
      </c>
      <c r="G74">
        <v>0.3</v>
      </c>
      <c r="H74">
        <v>0</v>
      </c>
      <c r="I74">
        <v>1.95E-2</v>
      </c>
      <c r="J74">
        <v>0</v>
      </c>
      <c r="K74">
        <v>0</v>
      </c>
      <c r="L74" s="2">
        <v>63.815527957273211</v>
      </c>
    </row>
    <row r="75" spans="1:12" x14ac:dyDescent="0.2">
      <c r="A75" s="9"/>
      <c r="B75" s="9"/>
      <c r="C75" s="11"/>
      <c r="D75">
        <v>2</v>
      </c>
      <c r="E75">
        <v>0</v>
      </c>
      <c r="F75">
        <v>12.65461334560386</v>
      </c>
      <c r="G75">
        <v>0.3</v>
      </c>
      <c r="H75">
        <v>0</v>
      </c>
      <c r="I75">
        <v>1.95E-2</v>
      </c>
      <c r="J75">
        <v>0</v>
      </c>
      <c r="K75">
        <v>0</v>
      </c>
      <c r="L75" s="2">
        <v>46.764579113363702</v>
      </c>
    </row>
    <row r="76" spans="1:12" x14ac:dyDescent="0.2">
      <c r="A76" s="9"/>
      <c r="B76" s="9"/>
      <c r="C76" s="11"/>
      <c r="D76">
        <v>3</v>
      </c>
      <c r="E76">
        <v>0</v>
      </c>
      <c r="F76">
        <v>12.52540210947474</v>
      </c>
      <c r="G76">
        <v>0.3</v>
      </c>
      <c r="H76">
        <v>0</v>
      </c>
      <c r="I76">
        <v>1.95E-2</v>
      </c>
      <c r="J76">
        <v>0</v>
      </c>
      <c r="K76">
        <v>0</v>
      </c>
      <c r="L76" s="2">
        <v>46.330705302966543</v>
      </c>
    </row>
    <row r="77" spans="1:12" x14ac:dyDescent="0.2">
      <c r="A77" s="9"/>
      <c r="B77" s="9"/>
      <c r="C77" s="11"/>
      <c r="D77">
        <v>4</v>
      </c>
      <c r="E77">
        <v>0</v>
      </c>
      <c r="F77">
        <v>7.836098595354386</v>
      </c>
      <c r="G77">
        <v>0.3</v>
      </c>
      <c r="H77">
        <v>0</v>
      </c>
      <c r="I77">
        <v>1.95E-2</v>
      </c>
      <c r="J77">
        <v>0</v>
      </c>
      <c r="K77">
        <v>0</v>
      </c>
      <c r="L77" s="2">
        <v>30.584659953250441</v>
      </c>
    </row>
    <row r="78" spans="1:12" x14ac:dyDescent="0.2">
      <c r="A78" s="9"/>
      <c r="B78" s="9"/>
      <c r="C78" s="11"/>
      <c r="D78">
        <v>5</v>
      </c>
      <c r="E78">
        <v>0</v>
      </c>
      <c r="F78">
        <v>6.6859499138238592</v>
      </c>
      <c r="G78">
        <v>0.3</v>
      </c>
      <c r="H78">
        <v>0</v>
      </c>
      <c r="I78">
        <v>1.95E-2</v>
      </c>
      <c r="J78">
        <v>0</v>
      </c>
      <c r="K78">
        <v>0</v>
      </c>
      <c r="L78" s="2">
        <v>26.722616636207519</v>
      </c>
    </row>
    <row r="79" spans="1:12" x14ac:dyDescent="0.2">
      <c r="A79" s="9"/>
      <c r="B79" s="9"/>
      <c r="C79" s="11"/>
      <c r="D79">
        <v>6</v>
      </c>
      <c r="E79">
        <v>0</v>
      </c>
      <c r="F79">
        <v>1.0108514773859649</v>
      </c>
      <c r="G79">
        <v>0.3</v>
      </c>
      <c r="H79">
        <v>0</v>
      </c>
      <c r="I79">
        <v>1.95E-2</v>
      </c>
      <c r="J79">
        <v>0</v>
      </c>
      <c r="K79">
        <v>0</v>
      </c>
      <c r="L79" s="2">
        <v>46.11533632877503</v>
      </c>
    </row>
    <row r="80" spans="1:12" x14ac:dyDescent="0.2">
      <c r="A80" s="9"/>
      <c r="B80" s="9"/>
      <c r="C80" s="11"/>
      <c r="D80">
        <v>7</v>
      </c>
      <c r="E80">
        <v>0</v>
      </c>
      <c r="F80">
        <v>0</v>
      </c>
      <c r="G80">
        <v>0.3</v>
      </c>
      <c r="H80">
        <v>0</v>
      </c>
      <c r="I80">
        <v>1.95E-2</v>
      </c>
      <c r="J80">
        <v>0</v>
      </c>
      <c r="K80">
        <v>0</v>
      </c>
      <c r="L80" s="2">
        <v>81.047990810816273</v>
      </c>
    </row>
    <row r="81" spans="1:12" x14ac:dyDescent="0.2">
      <c r="A81" s="9"/>
      <c r="B81" s="9"/>
      <c r="C81" s="11"/>
      <c r="D81">
        <v>8</v>
      </c>
      <c r="E81">
        <v>0</v>
      </c>
      <c r="F81">
        <v>14.500732937351049</v>
      </c>
      <c r="G81">
        <v>0.3</v>
      </c>
      <c r="H81">
        <v>0</v>
      </c>
      <c r="I81">
        <v>1.95E-2</v>
      </c>
      <c r="J81">
        <v>0</v>
      </c>
      <c r="K81">
        <v>0</v>
      </c>
      <c r="L81" s="2">
        <v>181.1267007813839</v>
      </c>
    </row>
    <row r="82" spans="1:12" x14ac:dyDescent="0.2">
      <c r="A82" s="9"/>
      <c r="B82" s="9"/>
      <c r="C82" s="11"/>
      <c r="D82">
        <v>9</v>
      </c>
      <c r="E82">
        <v>0</v>
      </c>
      <c r="F82">
        <v>68.61320687556298</v>
      </c>
      <c r="G82">
        <v>0.3</v>
      </c>
      <c r="H82">
        <v>0</v>
      </c>
      <c r="I82">
        <v>1.95E-2</v>
      </c>
      <c r="J82">
        <v>0</v>
      </c>
      <c r="K82">
        <v>0</v>
      </c>
      <c r="L82" s="2">
        <v>315.8359132834031</v>
      </c>
    </row>
    <row r="83" spans="1:12" x14ac:dyDescent="0.2">
      <c r="A83" s="9"/>
      <c r="B83" s="9"/>
      <c r="C83" s="11"/>
      <c r="D83">
        <v>10</v>
      </c>
      <c r="E83">
        <v>0</v>
      </c>
      <c r="F83">
        <v>106.860505309681</v>
      </c>
      <c r="G83">
        <v>0.3</v>
      </c>
      <c r="H83">
        <v>0</v>
      </c>
      <c r="I83">
        <v>1.95E-2</v>
      </c>
      <c r="J83">
        <v>0</v>
      </c>
      <c r="K83">
        <v>0</v>
      </c>
      <c r="L83" s="2">
        <v>439.99305183178672</v>
      </c>
    </row>
    <row r="84" spans="1:12" x14ac:dyDescent="0.2">
      <c r="A84" s="9"/>
      <c r="B84" s="9"/>
      <c r="C84" s="11"/>
      <c r="D84">
        <v>11</v>
      </c>
      <c r="E84">
        <v>0</v>
      </c>
      <c r="F84">
        <v>113.3849910168251</v>
      </c>
      <c r="G84">
        <v>0.3</v>
      </c>
      <c r="H84">
        <v>0</v>
      </c>
      <c r="I84">
        <v>1.95E-2</v>
      </c>
      <c r="J84">
        <v>0</v>
      </c>
      <c r="K84">
        <v>0</v>
      </c>
      <c r="L84" s="2">
        <v>461.90139014235018</v>
      </c>
    </row>
    <row r="85" spans="1:12" x14ac:dyDescent="0.2">
      <c r="A85" s="9"/>
      <c r="B85" s="9"/>
      <c r="C85" s="11"/>
      <c r="D85">
        <v>12</v>
      </c>
      <c r="E85">
        <v>0</v>
      </c>
      <c r="F85">
        <v>78.028556673210005</v>
      </c>
      <c r="G85">
        <v>0.3</v>
      </c>
      <c r="H85">
        <v>0</v>
      </c>
      <c r="I85">
        <v>1.95E-2</v>
      </c>
      <c r="J85">
        <v>0</v>
      </c>
      <c r="K85">
        <v>0</v>
      </c>
      <c r="L85" s="2">
        <v>390.17241535543758</v>
      </c>
    </row>
    <row r="86" spans="1:12" x14ac:dyDescent="0.2">
      <c r="A86" s="9"/>
      <c r="B86" s="9"/>
      <c r="C86" s="11"/>
      <c r="D86">
        <v>13</v>
      </c>
      <c r="E86">
        <v>0</v>
      </c>
      <c r="F86">
        <v>63.689678446297719</v>
      </c>
      <c r="G86">
        <v>0.3</v>
      </c>
      <c r="H86">
        <v>0</v>
      </c>
      <c r="I86">
        <v>1.95E-2</v>
      </c>
      <c r="J86">
        <v>0</v>
      </c>
      <c r="K86">
        <v>0</v>
      </c>
      <c r="L86" s="2">
        <v>337.75230315018541</v>
      </c>
    </row>
    <row r="87" spans="1:12" x14ac:dyDescent="0.2">
      <c r="A87" s="9"/>
      <c r="B87" s="9"/>
      <c r="C87" s="11"/>
      <c r="D87">
        <v>14</v>
      </c>
      <c r="E87">
        <v>0</v>
      </c>
      <c r="F87">
        <v>79.606078265952974</v>
      </c>
      <c r="G87">
        <v>0.3</v>
      </c>
      <c r="H87">
        <v>0</v>
      </c>
      <c r="I87">
        <v>1.95E-2</v>
      </c>
      <c r="J87">
        <v>0</v>
      </c>
      <c r="K87">
        <v>0</v>
      </c>
      <c r="L87" s="2">
        <v>395.46951895828391</v>
      </c>
    </row>
    <row r="88" spans="1:12" x14ac:dyDescent="0.2">
      <c r="A88" s="9"/>
      <c r="B88" s="9"/>
      <c r="C88" s="11"/>
      <c r="D88">
        <v>15</v>
      </c>
      <c r="E88">
        <v>0</v>
      </c>
      <c r="F88">
        <v>94.347114846838593</v>
      </c>
      <c r="G88">
        <v>0.3</v>
      </c>
      <c r="H88">
        <v>0</v>
      </c>
      <c r="I88">
        <v>1.95E-2</v>
      </c>
      <c r="J88">
        <v>0</v>
      </c>
      <c r="K88">
        <v>0</v>
      </c>
      <c r="L88" s="2">
        <v>410.79109366352492</v>
      </c>
    </row>
    <row r="89" spans="1:12" x14ac:dyDescent="0.2">
      <c r="A89" s="9"/>
      <c r="B89" s="9"/>
      <c r="C89" s="11"/>
      <c r="D89">
        <v>16</v>
      </c>
      <c r="E89">
        <v>0</v>
      </c>
      <c r="F89">
        <v>91.227533890813504</v>
      </c>
      <c r="G89">
        <v>0.3</v>
      </c>
      <c r="H89">
        <v>0</v>
      </c>
      <c r="I89">
        <v>1.95E-2</v>
      </c>
      <c r="J89">
        <v>0</v>
      </c>
      <c r="K89">
        <v>0</v>
      </c>
      <c r="L89" s="2">
        <v>404.58806722933679</v>
      </c>
    </row>
    <row r="90" spans="1:12" x14ac:dyDescent="0.2">
      <c r="A90" s="9"/>
      <c r="B90" s="9"/>
      <c r="C90" s="11"/>
      <c r="D90">
        <v>17</v>
      </c>
      <c r="E90">
        <v>0</v>
      </c>
      <c r="F90">
        <v>93.191730311008243</v>
      </c>
      <c r="G90">
        <v>0.3</v>
      </c>
      <c r="H90">
        <v>0</v>
      </c>
      <c r="I90">
        <v>1.95E-2</v>
      </c>
      <c r="J90">
        <v>0</v>
      </c>
      <c r="K90">
        <v>0</v>
      </c>
      <c r="L90" s="2">
        <v>441.08829636579009</v>
      </c>
    </row>
    <row r="91" spans="1:12" x14ac:dyDescent="0.2">
      <c r="A91" s="9"/>
      <c r="B91" s="9"/>
      <c r="C91" s="11"/>
      <c r="D91">
        <v>18</v>
      </c>
      <c r="E91">
        <v>0</v>
      </c>
      <c r="F91">
        <v>78.140866619972982</v>
      </c>
      <c r="G91">
        <v>0.3</v>
      </c>
      <c r="H91">
        <v>0</v>
      </c>
      <c r="I91">
        <v>1.95E-2</v>
      </c>
      <c r="J91">
        <v>0</v>
      </c>
      <c r="K91">
        <v>0</v>
      </c>
      <c r="L91" s="2">
        <v>407.63795058193392</v>
      </c>
    </row>
    <row r="92" spans="1:12" x14ac:dyDescent="0.2">
      <c r="A92" s="9"/>
      <c r="B92" s="9"/>
      <c r="C92" s="11"/>
      <c r="D92">
        <v>19</v>
      </c>
      <c r="E92">
        <v>0</v>
      </c>
      <c r="F92">
        <v>64.648477127971404</v>
      </c>
      <c r="G92">
        <v>0.3</v>
      </c>
      <c r="H92">
        <v>0</v>
      </c>
      <c r="I92">
        <v>1.95E-2</v>
      </c>
      <c r="J92">
        <v>0</v>
      </c>
      <c r="K92">
        <v>0</v>
      </c>
      <c r="L92" s="2">
        <v>328.15550887346672</v>
      </c>
    </row>
    <row r="93" spans="1:12" x14ac:dyDescent="0.2">
      <c r="A93" s="9"/>
      <c r="B93" s="9"/>
      <c r="C93" s="11"/>
      <c r="D93">
        <v>20</v>
      </c>
      <c r="E93">
        <v>0</v>
      </c>
      <c r="F93">
        <v>45.123506112547723</v>
      </c>
      <c r="G93">
        <v>0.3</v>
      </c>
      <c r="H93">
        <v>0</v>
      </c>
      <c r="I93">
        <v>1.95E-2</v>
      </c>
      <c r="J93">
        <v>0</v>
      </c>
      <c r="K93">
        <v>0</v>
      </c>
      <c r="L93" s="2">
        <v>236.96068323016769</v>
      </c>
    </row>
    <row r="94" spans="1:12" x14ac:dyDescent="0.2">
      <c r="A94" s="9"/>
      <c r="B94" s="9"/>
      <c r="C94" s="11"/>
      <c r="D94">
        <v>21</v>
      </c>
      <c r="E94">
        <v>0</v>
      </c>
      <c r="F94">
        <v>32.07525926047439</v>
      </c>
      <c r="G94">
        <v>0.3</v>
      </c>
      <c r="H94">
        <v>0</v>
      </c>
      <c r="I94">
        <v>1.95E-2</v>
      </c>
      <c r="J94">
        <v>0</v>
      </c>
      <c r="K94">
        <v>0</v>
      </c>
      <c r="L94" s="2">
        <v>171.78592252315701</v>
      </c>
    </row>
    <row r="95" spans="1:12" x14ac:dyDescent="0.2">
      <c r="A95" s="9"/>
      <c r="B95" s="9"/>
      <c r="C95" s="11"/>
      <c r="D95">
        <v>22</v>
      </c>
      <c r="E95">
        <v>0</v>
      </c>
      <c r="F95">
        <v>27.588586865238241</v>
      </c>
      <c r="G95">
        <v>0.3</v>
      </c>
      <c r="H95">
        <v>0</v>
      </c>
      <c r="I95">
        <v>1.95E-2</v>
      </c>
      <c r="J95">
        <v>0</v>
      </c>
      <c r="K95">
        <v>0</v>
      </c>
      <c r="L95" s="2">
        <v>135.3597679271351</v>
      </c>
    </row>
    <row r="96" spans="1:12" x14ac:dyDescent="0.2">
      <c r="A96" s="9"/>
      <c r="B96" s="9"/>
      <c r="C96" s="11"/>
      <c r="D96">
        <v>23</v>
      </c>
      <c r="E96">
        <v>0</v>
      </c>
      <c r="F96">
        <v>0</v>
      </c>
      <c r="G96">
        <v>0.3</v>
      </c>
      <c r="H96">
        <v>0</v>
      </c>
      <c r="I96">
        <v>1.95E-2</v>
      </c>
      <c r="J96">
        <v>0</v>
      </c>
      <c r="K96">
        <v>0</v>
      </c>
      <c r="L96" s="2">
        <v>0</v>
      </c>
    </row>
    <row r="97" spans="1:12" x14ac:dyDescent="0.2">
      <c r="A97" s="9"/>
      <c r="B97" s="9"/>
      <c r="C97" s="11"/>
      <c r="D97">
        <v>24</v>
      </c>
      <c r="E97">
        <v>0</v>
      </c>
      <c r="F97">
        <v>0</v>
      </c>
      <c r="G97">
        <v>0.3</v>
      </c>
      <c r="H97">
        <v>0</v>
      </c>
      <c r="I97">
        <v>1.95E-2</v>
      </c>
      <c r="J97">
        <v>0</v>
      </c>
      <c r="K97">
        <v>0</v>
      </c>
      <c r="L97" s="2">
        <v>0</v>
      </c>
    </row>
    <row r="98" spans="1:12" x14ac:dyDescent="0.2">
      <c r="A98" s="9"/>
      <c r="B98" s="9"/>
      <c r="C98" s="10">
        <v>5</v>
      </c>
      <c r="D98">
        <v>1</v>
      </c>
      <c r="E98">
        <v>0</v>
      </c>
      <c r="F98">
        <v>4.2162795785212124</v>
      </c>
      <c r="G98">
        <v>0.3</v>
      </c>
      <c r="H98">
        <v>0</v>
      </c>
      <c r="I98">
        <v>1.95E-2</v>
      </c>
      <c r="J98">
        <v>0</v>
      </c>
      <c r="K98">
        <v>0</v>
      </c>
      <c r="L98" s="2">
        <v>22.654251603633231</v>
      </c>
    </row>
    <row r="99" spans="1:12" x14ac:dyDescent="0.2">
      <c r="A99" s="9"/>
      <c r="B99" s="9"/>
      <c r="C99" s="11"/>
      <c r="D99">
        <v>2</v>
      </c>
      <c r="E99">
        <v>0</v>
      </c>
      <c r="F99">
        <v>3.6806119146627272</v>
      </c>
      <c r="G99">
        <v>0.3</v>
      </c>
      <c r="H99">
        <v>0</v>
      </c>
      <c r="I99">
        <v>1.95E-2</v>
      </c>
      <c r="J99">
        <v>0</v>
      </c>
      <c r="K99">
        <v>0</v>
      </c>
      <c r="L99" s="2">
        <v>16.60123445317992</v>
      </c>
    </row>
    <row r="100" spans="1:12" x14ac:dyDescent="0.2">
      <c r="A100" s="9"/>
      <c r="B100" s="9"/>
      <c r="C100" s="11"/>
      <c r="D100">
        <v>3</v>
      </c>
      <c r="E100">
        <v>0</v>
      </c>
      <c r="F100">
        <v>3.2194501741824242</v>
      </c>
      <c r="G100">
        <v>0.3</v>
      </c>
      <c r="H100">
        <v>0</v>
      </c>
      <c r="I100">
        <v>1.95E-2</v>
      </c>
      <c r="J100">
        <v>0</v>
      </c>
      <c r="K100">
        <v>0</v>
      </c>
      <c r="L100" s="2">
        <v>15.07661010513144</v>
      </c>
    </row>
    <row r="101" spans="1:12" x14ac:dyDescent="0.2">
      <c r="A101" s="9"/>
      <c r="B101" s="9"/>
      <c r="C101" s="11"/>
      <c r="D101">
        <v>4</v>
      </c>
      <c r="E101">
        <v>0</v>
      </c>
      <c r="F101">
        <v>6.0145195770221207</v>
      </c>
      <c r="G101">
        <v>0.3</v>
      </c>
      <c r="H101">
        <v>0</v>
      </c>
      <c r="I101">
        <v>1.95E-2</v>
      </c>
      <c r="J101">
        <v>0</v>
      </c>
      <c r="K101">
        <v>0</v>
      </c>
      <c r="L101" s="2">
        <v>24.429215881077479</v>
      </c>
    </row>
    <row r="102" spans="1:12" x14ac:dyDescent="0.2">
      <c r="A102" s="9"/>
      <c r="B102" s="9"/>
      <c r="C102" s="11"/>
      <c r="D102">
        <v>5</v>
      </c>
      <c r="E102">
        <v>0</v>
      </c>
      <c r="F102">
        <v>8.9838056085818181</v>
      </c>
      <c r="G102">
        <v>0.3</v>
      </c>
      <c r="H102">
        <v>0</v>
      </c>
      <c r="I102">
        <v>1.95E-2</v>
      </c>
      <c r="J102">
        <v>0</v>
      </c>
      <c r="K102">
        <v>0</v>
      </c>
      <c r="L102" s="2">
        <v>34.388271367301883</v>
      </c>
    </row>
    <row r="103" spans="1:12" x14ac:dyDescent="0.2">
      <c r="A103" s="9"/>
      <c r="B103" s="9"/>
      <c r="C103" s="11"/>
      <c r="D103">
        <v>6</v>
      </c>
      <c r="E103">
        <v>0</v>
      </c>
      <c r="F103">
        <v>19.801433138878789</v>
      </c>
      <c r="G103">
        <v>0.3</v>
      </c>
      <c r="H103">
        <v>0</v>
      </c>
      <c r="I103">
        <v>1.95E-2</v>
      </c>
      <c r="J103">
        <v>0</v>
      </c>
      <c r="K103">
        <v>0</v>
      </c>
      <c r="L103" s="2">
        <v>109.13837278786259</v>
      </c>
    </row>
    <row r="104" spans="1:12" x14ac:dyDescent="0.2">
      <c r="A104" s="9"/>
      <c r="B104" s="9"/>
      <c r="C104" s="11"/>
      <c r="D104">
        <v>7</v>
      </c>
      <c r="E104">
        <v>0</v>
      </c>
      <c r="F104">
        <v>75.998792024018783</v>
      </c>
      <c r="G104">
        <v>0.3</v>
      </c>
      <c r="H104">
        <v>0</v>
      </c>
      <c r="I104">
        <v>1.95E-2</v>
      </c>
      <c r="J104">
        <v>0</v>
      </c>
      <c r="K104">
        <v>0</v>
      </c>
      <c r="L104" s="2">
        <v>340.02924664846171</v>
      </c>
    </row>
    <row r="105" spans="1:12" x14ac:dyDescent="0.2">
      <c r="A105" s="9"/>
      <c r="B105" s="9"/>
      <c r="C105" s="11"/>
      <c r="D105">
        <v>8</v>
      </c>
      <c r="E105">
        <v>0</v>
      </c>
      <c r="F105">
        <v>88.847261342422129</v>
      </c>
      <c r="G105">
        <v>0.3</v>
      </c>
      <c r="H105">
        <v>0</v>
      </c>
      <c r="I105">
        <v>1.95E-2</v>
      </c>
      <c r="J105">
        <v>0</v>
      </c>
      <c r="K105">
        <v>0</v>
      </c>
      <c r="L105" s="2">
        <v>430.57525776102358</v>
      </c>
    </row>
    <row r="106" spans="1:12" x14ac:dyDescent="0.2">
      <c r="A106" s="9"/>
      <c r="B106" s="9"/>
      <c r="C106" s="11"/>
      <c r="D106">
        <v>9</v>
      </c>
      <c r="E106">
        <v>0</v>
      </c>
      <c r="F106">
        <v>68.082143369449696</v>
      </c>
      <c r="G106">
        <v>0.3</v>
      </c>
      <c r="H106">
        <v>0</v>
      </c>
      <c r="I106">
        <v>1.95E-2</v>
      </c>
      <c r="J106">
        <v>0</v>
      </c>
      <c r="K106">
        <v>0</v>
      </c>
      <c r="L106" s="2">
        <v>313.93728340496392</v>
      </c>
    </row>
    <row r="107" spans="1:12" x14ac:dyDescent="0.2">
      <c r="A107" s="9"/>
      <c r="B107" s="9"/>
      <c r="C107" s="11"/>
      <c r="D107">
        <v>10</v>
      </c>
      <c r="E107">
        <v>0</v>
      </c>
      <c r="F107">
        <v>53.390530787573638</v>
      </c>
      <c r="G107">
        <v>0.3</v>
      </c>
      <c r="H107">
        <v>0</v>
      </c>
      <c r="I107">
        <v>1.95E-2</v>
      </c>
      <c r="J107">
        <v>0</v>
      </c>
      <c r="K107">
        <v>0</v>
      </c>
      <c r="L107" s="2">
        <v>260.32622516580659</v>
      </c>
    </row>
    <row r="108" spans="1:12" x14ac:dyDescent="0.2">
      <c r="A108" s="9"/>
      <c r="B108" s="9"/>
      <c r="C108" s="11"/>
      <c r="D108">
        <v>11</v>
      </c>
      <c r="E108">
        <v>0</v>
      </c>
      <c r="F108">
        <v>50.74065806745606</v>
      </c>
      <c r="G108">
        <v>0.3</v>
      </c>
      <c r="H108">
        <v>0</v>
      </c>
      <c r="I108">
        <v>1.95E-2</v>
      </c>
      <c r="J108">
        <v>0</v>
      </c>
      <c r="K108">
        <v>0</v>
      </c>
      <c r="L108" s="2">
        <v>251.42542867545609</v>
      </c>
    </row>
    <row r="109" spans="1:12" x14ac:dyDescent="0.2">
      <c r="A109" s="9"/>
      <c r="B109" s="9"/>
      <c r="C109" s="11"/>
      <c r="D109">
        <v>12</v>
      </c>
      <c r="E109">
        <v>0</v>
      </c>
      <c r="F109">
        <v>66.512878084572733</v>
      </c>
      <c r="G109">
        <v>0.3</v>
      </c>
      <c r="H109">
        <v>0</v>
      </c>
      <c r="I109">
        <v>1.95E-2</v>
      </c>
      <c r="J109">
        <v>0</v>
      </c>
      <c r="K109">
        <v>0</v>
      </c>
      <c r="L109" s="2">
        <v>351.29249616313223</v>
      </c>
    </row>
    <row r="110" spans="1:12" x14ac:dyDescent="0.2">
      <c r="A110" s="9"/>
      <c r="B110" s="9"/>
      <c r="C110" s="11"/>
      <c r="D110">
        <v>13</v>
      </c>
      <c r="E110">
        <v>0</v>
      </c>
      <c r="F110">
        <v>58.386921960849087</v>
      </c>
      <c r="G110">
        <v>0.3</v>
      </c>
      <c r="H110">
        <v>0</v>
      </c>
      <c r="I110">
        <v>1.95E-2</v>
      </c>
      <c r="J110">
        <v>0</v>
      </c>
      <c r="K110">
        <v>0</v>
      </c>
      <c r="L110" s="2">
        <v>319.73516583170021</v>
      </c>
    </row>
    <row r="111" spans="1:12" x14ac:dyDescent="0.2">
      <c r="A111" s="9"/>
      <c r="B111" s="9"/>
      <c r="C111" s="11"/>
      <c r="D111">
        <v>14</v>
      </c>
      <c r="E111">
        <v>0</v>
      </c>
      <c r="F111">
        <v>66.418402526538486</v>
      </c>
      <c r="G111">
        <v>0.3</v>
      </c>
      <c r="H111">
        <v>0</v>
      </c>
      <c r="I111">
        <v>1.95E-2</v>
      </c>
      <c r="J111">
        <v>0</v>
      </c>
      <c r="K111">
        <v>0</v>
      </c>
      <c r="L111" s="2">
        <v>350.97515725512</v>
      </c>
    </row>
    <row r="112" spans="1:12" x14ac:dyDescent="0.2">
      <c r="A112" s="9"/>
      <c r="B112" s="9"/>
      <c r="C112" s="11"/>
      <c r="D112">
        <v>15</v>
      </c>
      <c r="E112">
        <v>0</v>
      </c>
      <c r="F112">
        <v>53.856180656740612</v>
      </c>
      <c r="G112">
        <v>0.3</v>
      </c>
      <c r="H112">
        <v>0</v>
      </c>
      <c r="I112">
        <v>1.95E-2</v>
      </c>
      <c r="J112">
        <v>0</v>
      </c>
      <c r="K112">
        <v>0</v>
      </c>
      <c r="L112" s="2">
        <v>274.67821101294783</v>
      </c>
    </row>
    <row r="113" spans="1:12" x14ac:dyDescent="0.2">
      <c r="A113" s="9"/>
      <c r="B113" s="9"/>
      <c r="C113" s="11"/>
      <c r="D113">
        <v>16</v>
      </c>
      <c r="E113">
        <v>0</v>
      </c>
      <c r="F113">
        <v>66.631778963839992</v>
      </c>
      <c r="G113">
        <v>0.3</v>
      </c>
      <c r="H113">
        <v>0</v>
      </c>
      <c r="I113">
        <v>1.95E-2</v>
      </c>
      <c r="J113">
        <v>0</v>
      </c>
      <c r="K113">
        <v>0</v>
      </c>
      <c r="L113" s="2">
        <v>321.85346839158598</v>
      </c>
    </row>
    <row r="114" spans="1:12" x14ac:dyDescent="0.2">
      <c r="A114" s="9"/>
      <c r="B114" s="9"/>
      <c r="C114" s="11"/>
      <c r="D114">
        <v>17</v>
      </c>
      <c r="E114">
        <v>0</v>
      </c>
      <c r="F114">
        <v>93.788663563850605</v>
      </c>
      <c r="G114">
        <v>0.3</v>
      </c>
      <c r="H114">
        <v>0</v>
      </c>
      <c r="I114">
        <v>1.95E-2</v>
      </c>
      <c r="J114">
        <v>0</v>
      </c>
      <c r="K114">
        <v>0</v>
      </c>
      <c r="L114" s="2">
        <v>442.91056288097741</v>
      </c>
    </row>
    <row r="115" spans="1:12" x14ac:dyDescent="0.2">
      <c r="A115" s="9"/>
      <c r="B115" s="9"/>
      <c r="C115" s="11"/>
      <c r="D115">
        <v>18</v>
      </c>
      <c r="E115">
        <v>0</v>
      </c>
      <c r="F115">
        <v>111.456197091717</v>
      </c>
      <c r="G115">
        <v>0.3</v>
      </c>
      <c r="H115">
        <v>0</v>
      </c>
      <c r="I115">
        <v>1.95E-2</v>
      </c>
      <c r="J115">
        <v>0</v>
      </c>
      <c r="K115">
        <v>0</v>
      </c>
      <c r="L115" s="2">
        <v>518.54347291435238</v>
      </c>
    </row>
    <row r="116" spans="1:12" x14ac:dyDescent="0.2">
      <c r="A116" s="9"/>
      <c r="B116" s="9"/>
      <c r="C116" s="11"/>
      <c r="D116">
        <v>19</v>
      </c>
      <c r="E116">
        <v>0</v>
      </c>
      <c r="F116">
        <v>91.642096283781811</v>
      </c>
      <c r="G116">
        <v>0.3</v>
      </c>
      <c r="H116">
        <v>0</v>
      </c>
      <c r="I116">
        <v>1.95E-2</v>
      </c>
      <c r="J116">
        <v>0</v>
      </c>
      <c r="K116">
        <v>0</v>
      </c>
      <c r="L116" s="2">
        <v>418.64982533780369</v>
      </c>
    </row>
    <row r="117" spans="1:12" x14ac:dyDescent="0.2">
      <c r="A117" s="9"/>
      <c r="B117" s="9"/>
      <c r="C117" s="11"/>
      <c r="D117">
        <v>20</v>
      </c>
      <c r="E117">
        <v>0</v>
      </c>
      <c r="F117">
        <v>54.619499673782421</v>
      </c>
      <c r="G117">
        <v>0.3</v>
      </c>
      <c r="H117">
        <v>0</v>
      </c>
      <c r="I117">
        <v>1.95E-2</v>
      </c>
      <c r="J117">
        <v>0</v>
      </c>
      <c r="K117">
        <v>0</v>
      </c>
      <c r="L117" s="2">
        <v>268.71690325329757</v>
      </c>
    </row>
    <row r="118" spans="1:12" x14ac:dyDescent="0.2">
      <c r="A118" s="9"/>
      <c r="B118" s="9"/>
      <c r="C118" s="11"/>
      <c r="D118">
        <v>21</v>
      </c>
      <c r="E118">
        <v>0</v>
      </c>
      <c r="F118">
        <v>33.412924857554849</v>
      </c>
      <c r="G118">
        <v>0.3</v>
      </c>
      <c r="H118">
        <v>0</v>
      </c>
      <c r="I118">
        <v>1.95E-2</v>
      </c>
      <c r="J118">
        <v>0</v>
      </c>
      <c r="K118">
        <v>0</v>
      </c>
      <c r="L118" s="2">
        <v>175.91336650225199</v>
      </c>
    </row>
    <row r="119" spans="1:12" x14ac:dyDescent="0.2">
      <c r="A119" s="9"/>
      <c r="B119" s="9"/>
      <c r="C119" s="11"/>
      <c r="D119">
        <v>22</v>
      </c>
      <c r="E119">
        <v>0</v>
      </c>
      <c r="F119">
        <v>28.498970753995149</v>
      </c>
      <c r="G119">
        <v>0.3</v>
      </c>
      <c r="H119">
        <v>0</v>
      </c>
      <c r="I119">
        <v>1.95E-2</v>
      </c>
      <c r="J119">
        <v>0</v>
      </c>
      <c r="K119">
        <v>0</v>
      </c>
      <c r="L119" s="2">
        <v>138.14997260292591</v>
      </c>
    </row>
    <row r="120" spans="1:12" x14ac:dyDescent="0.2">
      <c r="A120" s="9"/>
      <c r="B120" s="9"/>
      <c r="C120" s="11"/>
      <c r="D120">
        <v>23</v>
      </c>
      <c r="E120">
        <v>0</v>
      </c>
      <c r="F120">
        <v>0</v>
      </c>
      <c r="G120">
        <v>0.3</v>
      </c>
      <c r="H120">
        <v>0</v>
      </c>
      <c r="I120">
        <v>1.95E-2</v>
      </c>
      <c r="J120">
        <v>0</v>
      </c>
      <c r="K120">
        <v>0</v>
      </c>
      <c r="L120" s="2">
        <v>0</v>
      </c>
    </row>
    <row r="121" spans="1:12" x14ac:dyDescent="0.2">
      <c r="A121" s="9"/>
      <c r="B121" s="9"/>
      <c r="C121" s="11"/>
      <c r="D121">
        <v>24</v>
      </c>
      <c r="E121">
        <v>0</v>
      </c>
      <c r="F121">
        <v>0</v>
      </c>
      <c r="G121">
        <v>0.3</v>
      </c>
      <c r="H121">
        <v>0</v>
      </c>
      <c r="I121">
        <v>1.95E-2</v>
      </c>
      <c r="J121">
        <v>0</v>
      </c>
      <c r="K121">
        <v>0</v>
      </c>
      <c r="L121" s="2">
        <v>0</v>
      </c>
    </row>
    <row r="122" spans="1:12" x14ac:dyDescent="0.2">
      <c r="A122" s="9"/>
      <c r="B122" s="9"/>
      <c r="C122" s="10">
        <v>6</v>
      </c>
      <c r="D122">
        <v>1</v>
      </c>
      <c r="E122">
        <v>0</v>
      </c>
      <c r="F122">
        <v>16.460259998606329</v>
      </c>
      <c r="G122">
        <v>0.3</v>
      </c>
      <c r="H122">
        <v>0</v>
      </c>
      <c r="I122">
        <v>1.95E-2</v>
      </c>
      <c r="J122">
        <v>0</v>
      </c>
      <c r="K122">
        <v>0</v>
      </c>
      <c r="L122" s="2">
        <v>63.815527957273211</v>
      </c>
    </row>
    <row r="123" spans="1:12" x14ac:dyDescent="0.2">
      <c r="A123" s="9"/>
      <c r="B123" s="9"/>
      <c r="C123" s="11"/>
      <c r="D123">
        <v>2</v>
      </c>
      <c r="E123">
        <v>0</v>
      </c>
      <c r="F123">
        <v>12.654613345603879</v>
      </c>
      <c r="G123">
        <v>0.3</v>
      </c>
      <c r="H123">
        <v>0</v>
      </c>
      <c r="I123">
        <v>1.95E-2</v>
      </c>
      <c r="J123">
        <v>0</v>
      </c>
      <c r="K123">
        <v>0</v>
      </c>
      <c r="L123" s="2">
        <v>46.764579113363702</v>
      </c>
    </row>
    <row r="124" spans="1:12" x14ac:dyDescent="0.2">
      <c r="A124" s="9"/>
      <c r="B124" s="9"/>
      <c r="C124" s="11"/>
      <c r="D124">
        <v>3</v>
      </c>
      <c r="E124">
        <v>0</v>
      </c>
      <c r="F124">
        <v>12.5254021094749</v>
      </c>
      <c r="G124">
        <v>0.3</v>
      </c>
      <c r="H124">
        <v>0</v>
      </c>
      <c r="I124">
        <v>1.95E-2</v>
      </c>
      <c r="J124">
        <v>0</v>
      </c>
      <c r="K124">
        <v>0</v>
      </c>
      <c r="L124" s="2">
        <v>46.330705302966543</v>
      </c>
    </row>
    <row r="125" spans="1:12" x14ac:dyDescent="0.2">
      <c r="A125" s="9"/>
      <c r="B125" s="9"/>
      <c r="C125" s="11"/>
      <c r="D125">
        <v>4</v>
      </c>
      <c r="E125">
        <v>0</v>
      </c>
      <c r="F125">
        <v>7.8360985953542857</v>
      </c>
      <c r="G125">
        <v>0.3</v>
      </c>
      <c r="H125">
        <v>0</v>
      </c>
      <c r="I125">
        <v>1.95E-2</v>
      </c>
      <c r="J125">
        <v>0</v>
      </c>
      <c r="K125">
        <v>0</v>
      </c>
      <c r="L125" s="2">
        <v>30.584659953250441</v>
      </c>
    </row>
    <row r="126" spans="1:12" x14ac:dyDescent="0.2">
      <c r="A126" s="9"/>
      <c r="B126" s="9"/>
      <c r="C126" s="11"/>
      <c r="D126">
        <v>5</v>
      </c>
      <c r="E126">
        <v>0</v>
      </c>
      <c r="F126">
        <v>6.6859499138238778</v>
      </c>
      <c r="G126">
        <v>0.3</v>
      </c>
      <c r="H126">
        <v>0</v>
      </c>
      <c r="I126">
        <v>1.95E-2</v>
      </c>
      <c r="J126">
        <v>0</v>
      </c>
      <c r="K126">
        <v>0</v>
      </c>
      <c r="L126" s="2">
        <v>26.722616636207519</v>
      </c>
    </row>
    <row r="127" spans="1:12" x14ac:dyDescent="0.2">
      <c r="A127" s="9"/>
      <c r="B127" s="9"/>
      <c r="C127" s="11"/>
      <c r="D127">
        <v>6</v>
      </c>
      <c r="E127">
        <v>0</v>
      </c>
      <c r="F127">
        <v>1.0108514773859181</v>
      </c>
      <c r="G127">
        <v>0.3</v>
      </c>
      <c r="H127">
        <v>0</v>
      </c>
      <c r="I127">
        <v>1.95E-2</v>
      </c>
      <c r="J127">
        <v>0</v>
      </c>
      <c r="K127">
        <v>0</v>
      </c>
      <c r="L127" s="2">
        <v>46.11533632877503</v>
      </c>
    </row>
    <row r="128" spans="1:12" x14ac:dyDescent="0.2">
      <c r="A128" s="9"/>
      <c r="B128" s="9"/>
      <c r="C128" s="11"/>
      <c r="D128">
        <v>7</v>
      </c>
      <c r="E128">
        <v>0</v>
      </c>
      <c r="F128">
        <v>0</v>
      </c>
      <c r="G128">
        <v>0.3</v>
      </c>
      <c r="H128">
        <v>0</v>
      </c>
      <c r="I128">
        <v>1.95E-2</v>
      </c>
      <c r="J128">
        <v>0</v>
      </c>
      <c r="K128">
        <v>0</v>
      </c>
      <c r="L128" s="2">
        <v>81.047990810816273</v>
      </c>
    </row>
    <row r="129" spans="1:12" x14ac:dyDescent="0.2">
      <c r="A129" s="9"/>
      <c r="B129" s="9"/>
      <c r="C129" s="11"/>
      <c r="D129">
        <v>8</v>
      </c>
      <c r="E129">
        <v>0</v>
      </c>
      <c r="F129">
        <v>14.500732937351019</v>
      </c>
      <c r="G129">
        <v>0.3</v>
      </c>
      <c r="H129">
        <v>0</v>
      </c>
      <c r="I129">
        <v>1.95E-2</v>
      </c>
      <c r="J129">
        <v>0</v>
      </c>
      <c r="K129">
        <v>0</v>
      </c>
      <c r="L129" s="2">
        <v>181.1267007813839</v>
      </c>
    </row>
    <row r="130" spans="1:12" x14ac:dyDescent="0.2">
      <c r="A130" s="9"/>
      <c r="B130" s="9"/>
      <c r="C130" s="11"/>
      <c r="D130">
        <v>9</v>
      </c>
      <c r="E130">
        <v>0</v>
      </c>
      <c r="F130">
        <v>68.613206875562852</v>
      </c>
      <c r="G130">
        <v>0.3</v>
      </c>
      <c r="H130">
        <v>0</v>
      </c>
      <c r="I130">
        <v>1.95E-2</v>
      </c>
      <c r="J130">
        <v>0</v>
      </c>
      <c r="K130">
        <v>0</v>
      </c>
      <c r="L130" s="2">
        <v>315.8359132834031</v>
      </c>
    </row>
    <row r="131" spans="1:12" x14ac:dyDescent="0.2">
      <c r="A131" s="9"/>
      <c r="B131" s="9"/>
      <c r="C131" s="11"/>
      <c r="D131">
        <v>10</v>
      </c>
      <c r="E131">
        <v>0</v>
      </c>
      <c r="F131">
        <v>106.8605053096808</v>
      </c>
      <c r="G131">
        <v>0.3</v>
      </c>
      <c r="H131">
        <v>0</v>
      </c>
      <c r="I131">
        <v>1.95E-2</v>
      </c>
      <c r="J131">
        <v>0</v>
      </c>
      <c r="K131">
        <v>0</v>
      </c>
      <c r="L131" s="2">
        <v>439.99305183178672</v>
      </c>
    </row>
    <row r="132" spans="1:12" x14ac:dyDescent="0.2">
      <c r="A132" s="9"/>
      <c r="B132" s="9"/>
      <c r="C132" s="11"/>
      <c r="D132">
        <v>11</v>
      </c>
      <c r="E132">
        <v>0</v>
      </c>
      <c r="F132">
        <v>113.3849910168249</v>
      </c>
      <c r="G132">
        <v>0.3</v>
      </c>
      <c r="H132">
        <v>0</v>
      </c>
      <c r="I132">
        <v>1.95E-2</v>
      </c>
      <c r="J132">
        <v>0</v>
      </c>
      <c r="K132">
        <v>0</v>
      </c>
      <c r="L132" s="2">
        <v>461.90139014235018</v>
      </c>
    </row>
    <row r="133" spans="1:12" x14ac:dyDescent="0.2">
      <c r="A133" s="9"/>
      <c r="B133" s="9"/>
      <c r="C133" s="11"/>
      <c r="D133">
        <v>12</v>
      </c>
      <c r="E133">
        <v>0</v>
      </c>
      <c r="F133">
        <v>78.028556673209991</v>
      </c>
      <c r="G133">
        <v>0.3</v>
      </c>
      <c r="H133">
        <v>0</v>
      </c>
      <c r="I133">
        <v>1.95E-2</v>
      </c>
      <c r="J133">
        <v>0</v>
      </c>
      <c r="K133">
        <v>0</v>
      </c>
      <c r="L133" s="2">
        <v>390.17241535543758</v>
      </c>
    </row>
    <row r="134" spans="1:12" x14ac:dyDescent="0.2">
      <c r="A134" s="9"/>
      <c r="B134" s="9"/>
      <c r="C134" s="11"/>
      <c r="D134">
        <v>13</v>
      </c>
      <c r="E134">
        <v>0</v>
      </c>
      <c r="F134">
        <v>63.689678446297549</v>
      </c>
      <c r="G134">
        <v>0.3</v>
      </c>
      <c r="H134">
        <v>0</v>
      </c>
      <c r="I134">
        <v>1.95E-2</v>
      </c>
      <c r="J134">
        <v>0</v>
      </c>
      <c r="K134">
        <v>0</v>
      </c>
      <c r="L134" s="2">
        <v>337.75230315018541</v>
      </c>
    </row>
    <row r="135" spans="1:12" x14ac:dyDescent="0.2">
      <c r="A135" s="9"/>
      <c r="B135" s="9"/>
      <c r="C135" s="11"/>
      <c r="D135">
        <v>14</v>
      </c>
      <c r="E135">
        <v>0</v>
      </c>
      <c r="F135">
        <v>79.60607826595286</v>
      </c>
      <c r="G135">
        <v>0.3</v>
      </c>
      <c r="H135">
        <v>0</v>
      </c>
      <c r="I135">
        <v>1.95E-2</v>
      </c>
      <c r="J135">
        <v>0</v>
      </c>
      <c r="K135">
        <v>0</v>
      </c>
      <c r="L135" s="2">
        <v>395.46951895828391</v>
      </c>
    </row>
    <row r="136" spans="1:12" x14ac:dyDescent="0.2">
      <c r="A136" s="9"/>
      <c r="B136" s="9"/>
      <c r="C136" s="11"/>
      <c r="D136">
        <v>15</v>
      </c>
      <c r="E136">
        <v>0</v>
      </c>
      <c r="F136">
        <v>94.347114846838565</v>
      </c>
      <c r="G136">
        <v>0.3</v>
      </c>
      <c r="H136">
        <v>0</v>
      </c>
      <c r="I136">
        <v>1.95E-2</v>
      </c>
      <c r="J136">
        <v>0</v>
      </c>
      <c r="K136">
        <v>0</v>
      </c>
      <c r="L136" s="2">
        <v>410.79109366352492</v>
      </c>
    </row>
    <row r="137" spans="1:12" x14ac:dyDescent="0.2">
      <c r="A137" s="9"/>
      <c r="B137" s="9"/>
      <c r="C137" s="11"/>
      <c r="D137">
        <v>16</v>
      </c>
      <c r="E137">
        <v>0</v>
      </c>
      <c r="F137">
        <v>91.227533890813476</v>
      </c>
      <c r="G137">
        <v>0.3</v>
      </c>
      <c r="H137">
        <v>0</v>
      </c>
      <c r="I137">
        <v>1.95E-2</v>
      </c>
      <c r="J137">
        <v>0</v>
      </c>
      <c r="K137">
        <v>0</v>
      </c>
      <c r="L137" s="2">
        <v>404.58806722933679</v>
      </c>
    </row>
    <row r="138" spans="1:12" x14ac:dyDescent="0.2">
      <c r="A138" s="9"/>
      <c r="B138" s="9"/>
      <c r="C138" s="11"/>
      <c r="D138">
        <v>17</v>
      </c>
      <c r="E138">
        <v>0</v>
      </c>
      <c r="F138">
        <v>93.191730311008172</v>
      </c>
      <c r="G138">
        <v>0.3</v>
      </c>
      <c r="H138">
        <v>0</v>
      </c>
      <c r="I138">
        <v>1.95E-2</v>
      </c>
      <c r="J138">
        <v>0</v>
      </c>
      <c r="K138">
        <v>0</v>
      </c>
      <c r="L138" s="2">
        <v>441.08829636579009</v>
      </c>
    </row>
    <row r="139" spans="1:12" x14ac:dyDescent="0.2">
      <c r="A139" s="9"/>
      <c r="B139" s="9"/>
      <c r="C139" s="11"/>
      <c r="D139">
        <v>18</v>
      </c>
      <c r="E139">
        <v>0</v>
      </c>
      <c r="F139">
        <v>78.140866619972854</v>
      </c>
      <c r="G139">
        <v>0.3</v>
      </c>
      <c r="H139">
        <v>0</v>
      </c>
      <c r="I139">
        <v>1.95E-2</v>
      </c>
      <c r="J139">
        <v>0</v>
      </c>
      <c r="K139">
        <v>0</v>
      </c>
      <c r="L139" s="2">
        <v>407.63795058193392</v>
      </c>
    </row>
    <row r="140" spans="1:12" x14ac:dyDescent="0.2">
      <c r="A140" s="9"/>
      <c r="B140" s="9"/>
      <c r="C140" s="11"/>
      <c r="D140">
        <v>19</v>
      </c>
      <c r="E140">
        <v>0</v>
      </c>
      <c r="F140">
        <v>64.648477127971219</v>
      </c>
      <c r="G140">
        <v>0.3</v>
      </c>
      <c r="H140">
        <v>0</v>
      </c>
      <c r="I140">
        <v>1.95E-2</v>
      </c>
      <c r="J140">
        <v>0</v>
      </c>
      <c r="K140">
        <v>0</v>
      </c>
      <c r="L140" s="2">
        <v>328.15550887346672</v>
      </c>
    </row>
    <row r="141" spans="1:12" x14ac:dyDescent="0.2">
      <c r="A141" s="9"/>
      <c r="B141" s="9"/>
      <c r="C141" s="11"/>
      <c r="D141">
        <v>20</v>
      </c>
      <c r="E141">
        <v>0</v>
      </c>
      <c r="F141">
        <v>45.123506112547553</v>
      </c>
      <c r="G141">
        <v>0.3</v>
      </c>
      <c r="H141">
        <v>0</v>
      </c>
      <c r="I141">
        <v>1.95E-2</v>
      </c>
      <c r="J141">
        <v>0</v>
      </c>
      <c r="K141">
        <v>0</v>
      </c>
      <c r="L141" s="2">
        <v>236.96068323016769</v>
      </c>
    </row>
    <row r="142" spans="1:12" x14ac:dyDescent="0.2">
      <c r="A142" s="9"/>
      <c r="B142" s="9"/>
      <c r="C142" s="11"/>
      <c r="D142">
        <v>21</v>
      </c>
      <c r="E142">
        <v>0</v>
      </c>
      <c r="F142">
        <v>32.075259260474489</v>
      </c>
      <c r="G142">
        <v>0.3</v>
      </c>
      <c r="H142">
        <v>0</v>
      </c>
      <c r="I142">
        <v>1.95E-2</v>
      </c>
      <c r="J142">
        <v>0</v>
      </c>
      <c r="K142">
        <v>0</v>
      </c>
      <c r="L142" s="2">
        <v>171.78592252315701</v>
      </c>
    </row>
    <row r="143" spans="1:12" x14ac:dyDescent="0.2">
      <c r="A143" s="9"/>
      <c r="B143" s="9"/>
      <c r="C143" s="11"/>
      <c r="D143">
        <v>22</v>
      </c>
      <c r="E143">
        <v>0</v>
      </c>
      <c r="F143">
        <v>27.588586865238369</v>
      </c>
      <c r="G143">
        <v>0.3</v>
      </c>
      <c r="H143">
        <v>0</v>
      </c>
      <c r="I143">
        <v>1.95E-2</v>
      </c>
      <c r="J143">
        <v>0</v>
      </c>
      <c r="K143">
        <v>0</v>
      </c>
      <c r="L143" s="2">
        <v>135.3597679271351</v>
      </c>
    </row>
    <row r="144" spans="1:12" x14ac:dyDescent="0.2">
      <c r="A144" s="9"/>
      <c r="B144" s="9"/>
      <c r="C144" s="11"/>
      <c r="D144">
        <v>23</v>
      </c>
      <c r="E144">
        <v>0</v>
      </c>
      <c r="F144">
        <v>0</v>
      </c>
      <c r="G144">
        <v>0.3</v>
      </c>
      <c r="H144">
        <v>0</v>
      </c>
      <c r="I144">
        <v>1.95E-2</v>
      </c>
      <c r="J144">
        <v>0</v>
      </c>
      <c r="K144">
        <v>0</v>
      </c>
      <c r="L144" s="2">
        <v>0</v>
      </c>
    </row>
    <row r="145" spans="1:12" x14ac:dyDescent="0.2">
      <c r="A145" s="9"/>
      <c r="B145" s="9"/>
      <c r="C145" s="11"/>
      <c r="D145">
        <v>24</v>
      </c>
      <c r="E145">
        <v>0</v>
      </c>
      <c r="F145">
        <v>0</v>
      </c>
      <c r="G145">
        <v>0.3</v>
      </c>
      <c r="H145">
        <v>0</v>
      </c>
      <c r="I145">
        <v>1.95E-2</v>
      </c>
      <c r="J145">
        <v>0</v>
      </c>
      <c r="K145">
        <v>0</v>
      </c>
      <c r="L145" s="2">
        <v>0</v>
      </c>
    </row>
    <row r="146" spans="1:12" x14ac:dyDescent="0.2">
      <c r="A146" s="9"/>
      <c r="B146" s="9"/>
      <c r="C146" s="10">
        <v>7</v>
      </c>
      <c r="D146">
        <v>1</v>
      </c>
      <c r="E146">
        <v>0</v>
      </c>
      <c r="F146">
        <v>4.239801048958709</v>
      </c>
      <c r="G146">
        <v>0.3</v>
      </c>
      <c r="H146">
        <v>0</v>
      </c>
      <c r="I146">
        <v>1.95E-2</v>
      </c>
      <c r="J146">
        <v>0</v>
      </c>
      <c r="K146">
        <v>0</v>
      </c>
      <c r="L146" s="2">
        <v>22.654251603633231</v>
      </c>
    </row>
    <row r="147" spans="1:12" x14ac:dyDescent="0.2">
      <c r="A147" s="9"/>
      <c r="B147" s="9"/>
      <c r="C147" s="11"/>
      <c r="D147">
        <v>2</v>
      </c>
      <c r="E147">
        <v>0</v>
      </c>
      <c r="F147">
        <v>3.6975514328309682</v>
      </c>
      <c r="G147">
        <v>0.3</v>
      </c>
      <c r="H147">
        <v>0</v>
      </c>
      <c r="I147">
        <v>1.95E-2</v>
      </c>
      <c r="J147">
        <v>0</v>
      </c>
      <c r="K147">
        <v>0</v>
      </c>
      <c r="L147" s="2">
        <v>16.60123445317992</v>
      </c>
    </row>
    <row r="148" spans="1:12" x14ac:dyDescent="0.2">
      <c r="A148" s="9"/>
      <c r="B148" s="9"/>
      <c r="C148" s="11"/>
      <c r="D148">
        <v>3</v>
      </c>
      <c r="E148">
        <v>0</v>
      </c>
      <c r="F148">
        <v>3.236360797763226</v>
      </c>
      <c r="G148">
        <v>0.3</v>
      </c>
      <c r="H148">
        <v>0</v>
      </c>
      <c r="I148">
        <v>1.95E-2</v>
      </c>
      <c r="J148">
        <v>0</v>
      </c>
      <c r="K148">
        <v>0</v>
      </c>
      <c r="L148" s="2">
        <v>15.07661010513144</v>
      </c>
    </row>
    <row r="149" spans="1:12" x14ac:dyDescent="0.2">
      <c r="A149" s="9"/>
      <c r="B149" s="9"/>
      <c r="C149" s="11"/>
      <c r="D149">
        <v>4</v>
      </c>
      <c r="E149">
        <v>0</v>
      </c>
      <c r="F149">
        <v>6.0318411340280651</v>
      </c>
      <c r="G149">
        <v>0.3</v>
      </c>
      <c r="H149">
        <v>0</v>
      </c>
      <c r="I149">
        <v>1.95E-2</v>
      </c>
      <c r="J149">
        <v>0</v>
      </c>
      <c r="K149">
        <v>0</v>
      </c>
      <c r="L149" s="2">
        <v>24.429215881077479</v>
      </c>
    </row>
    <row r="150" spans="1:12" x14ac:dyDescent="0.2">
      <c r="A150" s="9"/>
      <c r="B150" s="9"/>
      <c r="C150" s="11"/>
      <c r="D150">
        <v>5</v>
      </c>
      <c r="E150">
        <v>0</v>
      </c>
      <c r="F150">
        <v>8.986672271601936</v>
      </c>
      <c r="G150">
        <v>0.3</v>
      </c>
      <c r="H150">
        <v>0</v>
      </c>
      <c r="I150">
        <v>1.95E-2</v>
      </c>
      <c r="J150">
        <v>0</v>
      </c>
      <c r="K150">
        <v>0</v>
      </c>
      <c r="L150" s="2">
        <v>34.388271367301883</v>
      </c>
    </row>
    <row r="151" spans="1:12" x14ac:dyDescent="0.2">
      <c r="A151" s="9"/>
      <c r="B151" s="9"/>
      <c r="C151" s="11"/>
      <c r="D151">
        <v>6</v>
      </c>
      <c r="E151">
        <v>0</v>
      </c>
      <c r="F151">
        <v>19.968382097606771</v>
      </c>
      <c r="G151">
        <v>0.3</v>
      </c>
      <c r="H151">
        <v>0</v>
      </c>
      <c r="I151">
        <v>1.95E-2</v>
      </c>
      <c r="J151">
        <v>0</v>
      </c>
      <c r="K151">
        <v>0</v>
      </c>
      <c r="L151" s="2">
        <v>109.13837278786259</v>
      </c>
    </row>
    <row r="152" spans="1:12" x14ac:dyDescent="0.2">
      <c r="A152" s="9"/>
      <c r="B152" s="9"/>
      <c r="C152" s="11"/>
      <c r="D152">
        <v>7</v>
      </c>
      <c r="E152">
        <v>0</v>
      </c>
      <c r="F152">
        <v>76.190237906383217</v>
      </c>
      <c r="G152">
        <v>0.3</v>
      </c>
      <c r="H152">
        <v>0</v>
      </c>
      <c r="I152">
        <v>1.95E-2</v>
      </c>
      <c r="J152">
        <v>0</v>
      </c>
      <c r="K152">
        <v>0</v>
      </c>
      <c r="L152" s="2">
        <v>340.02924664846171</v>
      </c>
    </row>
    <row r="153" spans="1:12" x14ac:dyDescent="0.2">
      <c r="A153" s="9"/>
      <c r="B153" s="9"/>
      <c r="C153" s="11"/>
      <c r="D153">
        <v>8</v>
      </c>
      <c r="E153">
        <v>0</v>
      </c>
      <c r="F153">
        <v>89.369583601947099</v>
      </c>
      <c r="G153">
        <v>0.3</v>
      </c>
      <c r="H153">
        <v>0</v>
      </c>
      <c r="I153">
        <v>1.95E-2</v>
      </c>
      <c r="J153">
        <v>0</v>
      </c>
      <c r="K153">
        <v>0</v>
      </c>
      <c r="L153" s="2">
        <v>430.57525776102358</v>
      </c>
    </row>
    <row r="154" spans="1:12" x14ac:dyDescent="0.2">
      <c r="A154" s="9"/>
      <c r="B154" s="9"/>
      <c r="C154" s="11"/>
      <c r="D154">
        <v>9</v>
      </c>
      <c r="E154">
        <v>0</v>
      </c>
      <c r="F154">
        <v>68.420998710583234</v>
      </c>
      <c r="G154">
        <v>0.3</v>
      </c>
      <c r="H154">
        <v>0</v>
      </c>
      <c r="I154">
        <v>1.95E-2</v>
      </c>
      <c r="J154">
        <v>0</v>
      </c>
      <c r="K154">
        <v>0</v>
      </c>
      <c r="L154" s="2">
        <v>313.93728340496392</v>
      </c>
    </row>
    <row r="155" spans="1:12" x14ac:dyDescent="0.2">
      <c r="A155" s="9"/>
      <c r="B155" s="9"/>
      <c r="C155" s="11"/>
      <c r="D155">
        <v>10</v>
      </c>
      <c r="E155">
        <v>0</v>
      </c>
      <c r="F155">
        <v>52.237990802079672</v>
      </c>
      <c r="G155">
        <v>0.3</v>
      </c>
      <c r="H155">
        <v>0</v>
      </c>
      <c r="I155">
        <v>1.95E-2</v>
      </c>
      <c r="J155">
        <v>0</v>
      </c>
      <c r="K155">
        <v>0</v>
      </c>
      <c r="L155" s="2">
        <v>260.32622516580659</v>
      </c>
    </row>
    <row r="156" spans="1:12" x14ac:dyDescent="0.2">
      <c r="A156" s="9"/>
      <c r="B156" s="9"/>
      <c r="C156" s="11"/>
      <c r="D156">
        <v>11</v>
      </c>
      <c r="E156">
        <v>0</v>
      </c>
      <c r="F156">
        <v>51.06014454454548</v>
      </c>
      <c r="G156">
        <v>0.3</v>
      </c>
      <c r="H156">
        <v>0</v>
      </c>
      <c r="I156">
        <v>1.95E-2</v>
      </c>
      <c r="J156">
        <v>0</v>
      </c>
      <c r="K156">
        <v>0</v>
      </c>
      <c r="L156" s="2">
        <v>251.42542867545609</v>
      </c>
    </row>
    <row r="157" spans="1:12" x14ac:dyDescent="0.2">
      <c r="A157" s="9"/>
      <c r="B157" s="9"/>
      <c r="C157" s="11"/>
      <c r="D157">
        <v>12</v>
      </c>
      <c r="E157">
        <v>0</v>
      </c>
      <c r="F157">
        <v>67.014962360009676</v>
      </c>
      <c r="G157">
        <v>0.3</v>
      </c>
      <c r="H157">
        <v>0</v>
      </c>
      <c r="I157">
        <v>1.95E-2</v>
      </c>
      <c r="J157">
        <v>0</v>
      </c>
      <c r="K157">
        <v>0</v>
      </c>
      <c r="L157" s="2">
        <v>351.29249616313223</v>
      </c>
    </row>
    <row r="158" spans="1:12" x14ac:dyDescent="0.2">
      <c r="A158" s="9"/>
      <c r="B158" s="9"/>
      <c r="C158" s="11"/>
      <c r="D158">
        <v>13</v>
      </c>
      <c r="E158">
        <v>0</v>
      </c>
      <c r="F158">
        <v>59.010159342233869</v>
      </c>
      <c r="G158">
        <v>0.3</v>
      </c>
      <c r="H158">
        <v>0</v>
      </c>
      <c r="I158">
        <v>1.95E-2</v>
      </c>
      <c r="J158">
        <v>0</v>
      </c>
      <c r="K158">
        <v>0</v>
      </c>
      <c r="L158" s="2">
        <v>319.73516583170021</v>
      </c>
    </row>
    <row r="159" spans="1:12" x14ac:dyDescent="0.2">
      <c r="A159" s="9"/>
      <c r="B159" s="9"/>
      <c r="C159" s="11"/>
      <c r="D159">
        <v>14</v>
      </c>
      <c r="E159">
        <v>0</v>
      </c>
      <c r="F159">
        <v>64.595489731334524</v>
      </c>
      <c r="G159">
        <v>0.3</v>
      </c>
      <c r="H159">
        <v>0</v>
      </c>
      <c r="I159">
        <v>1.95E-2</v>
      </c>
      <c r="J159">
        <v>0</v>
      </c>
      <c r="K159">
        <v>0</v>
      </c>
      <c r="L159" s="2">
        <v>350.97515725512</v>
      </c>
    </row>
    <row r="160" spans="1:12" x14ac:dyDescent="0.2">
      <c r="A160" s="9"/>
      <c r="B160" s="9"/>
      <c r="C160" s="11"/>
      <c r="D160">
        <v>15</v>
      </c>
      <c r="E160">
        <v>0</v>
      </c>
      <c r="F160">
        <v>54.344601653715813</v>
      </c>
      <c r="G160">
        <v>0.3</v>
      </c>
      <c r="H160">
        <v>0</v>
      </c>
      <c r="I160">
        <v>1.95E-2</v>
      </c>
      <c r="J160">
        <v>0</v>
      </c>
      <c r="K160">
        <v>0</v>
      </c>
      <c r="L160" s="2">
        <v>274.67821101294783</v>
      </c>
    </row>
    <row r="161" spans="1:12" x14ac:dyDescent="0.2">
      <c r="A161" s="9"/>
      <c r="B161" s="9"/>
      <c r="C161" s="11"/>
      <c r="D161">
        <v>16</v>
      </c>
      <c r="E161">
        <v>0</v>
      </c>
      <c r="F161">
        <v>65.236947321742576</v>
      </c>
      <c r="G161">
        <v>0.3</v>
      </c>
      <c r="H161">
        <v>0</v>
      </c>
      <c r="I161">
        <v>1.95E-2</v>
      </c>
      <c r="J161">
        <v>0</v>
      </c>
      <c r="K161">
        <v>0</v>
      </c>
      <c r="L161" s="2">
        <v>321.85346839158598</v>
      </c>
    </row>
    <row r="162" spans="1:12" x14ac:dyDescent="0.2">
      <c r="A162" s="9"/>
      <c r="B162" s="9"/>
      <c r="C162" s="11"/>
      <c r="D162">
        <v>17</v>
      </c>
      <c r="E162">
        <v>0</v>
      </c>
      <c r="F162">
        <v>94.29549576966258</v>
      </c>
      <c r="G162">
        <v>0.3</v>
      </c>
      <c r="H162">
        <v>0</v>
      </c>
      <c r="I162">
        <v>1.95E-2</v>
      </c>
      <c r="J162">
        <v>0</v>
      </c>
      <c r="K162">
        <v>0</v>
      </c>
      <c r="L162" s="2">
        <v>442.91056288097741</v>
      </c>
    </row>
    <row r="163" spans="1:12" x14ac:dyDescent="0.2">
      <c r="A163" s="9"/>
      <c r="B163" s="9"/>
      <c r="C163" s="11"/>
      <c r="D163">
        <v>18</v>
      </c>
      <c r="E163">
        <v>0</v>
      </c>
      <c r="F163">
        <v>111.80460507269611</v>
      </c>
      <c r="G163">
        <v>0.3</v>
      </c>
      <c r="H163">
        <v>0</v>
      </c>
      <c r="I163">
        <v>1.95E-2</v>
      </c>
      <c r="J163">
        <v>0</v>
      </c>
      <c r="K163">
        <v>0</v>
      </c>
      <c r="L163" s="2">
        <v>518.54347291435238</v>
      </c>
    </row>
    <row r="164" spans="1:12" x14ac:dyDescent="0.2">
      <c r="A164" s="9"/>
      <c r="B164" s="9"/>
      <c r="C164" s="11"/>
      <c r="D164">
        <v>19</v>
      </c>
      <c r="E164">
        <v>0</v>
      </c>
      <c r="F164">
        <v>92.083153994604203</v>
      </c>
      <c r="G164">
        <v>0.3</v>
      </c>
      <c r="H164">
        <v>0</v>
      </c>
      <c r="I164">
        <v>1.95E-2</v>
      </c>
      <c r="J164">
        <v>0</v>
      </c>
      <c r="K164">
        <v>0</v>
      </c>
      <c r="L164" s="2">
        <v>418.64982533780369</v>
      </c>
    </row>
    <row r="165" spans="1:12" x14ac:dyDescent="0.2">
      <c r="A165" s="9"/>
      <c r="B165" s="9"/>
      <c r="C165" s="11"/>
      <c r="D165">
        <v>20</v>
      </c>
      <c r="E165">
        <v>0</v>
      </c>
      <c r="F165">
        <v>54.956011555550319</v>
      </c>
      <c r="G165">
        <v>0.3</v>
      </c>
      <c r="H165">
        <v>0</v>
      </c>
      <c r="I165">
        <v>1.95E-2</v>
      </c>
      <c r="J165">
        <v>0</v>
      </c>
      <c r="K165">
        <v>0</v>
      </c>
      <c r="L165" s="2">
        <v>268.71690325329757</v>
      </c>
    </row>
    <row r="166" spans="1:12" x14ac:dyDescent="0.2">
      <c r="A166" s="9"/>
      <c r="B166" s="9"/>
      <c r="C166" s="11"/>
      <c r="D166">
        <v>21</v>
      </c>
      <c r="E166">
        <v>0</v>
      </c>
      <c r="F166">
        <v>33.587019346011942</v>
      </c>
      <c r="G166">
        <v>0.3</v>
      </c>
      <c r="H166">
        <v>0</v>
      </c>
      <c r="I166">
        <v>1.95E-2</v>
      </c>
      <c r="J166">
        <v>0</v>
      </c>
      <c r="K166">
        <v>0</v>
      </c>
      <c r="L166" s="2">
        <v>175.91336650225199</v>
      </c>
    </row>
    <row r="167" spans="1:12" x14ac:dyDescent="0.2">
      <c r="A167" s="9"/>
      <c r="B167" s="9"/>
      <c r="C167" s="11"/>
      <c r="D167">
        <v>22</v>
      </c>
      <c r="E167">
        <v>0</v>
      </c>
      <c r="F167">
        <v>27.831989504100321</v>
      </c>
      <c r="G167">
        <v>0.3</v>
      </c>
      <c r="H167">
        <v>0</v>
      </c>
      <c r="I167">
        <v>1.95E-2</v>
      </c>
      <c r="J167">
        <v>0</v>
      </c>
      <c r="K167">
        <v>0</v>
      </c>
      <c r="L167" s="2">
        <v>138.14997260292591</v>
      </c>
    </row>
    <row r="168" spans="1:12" x14ac:dyDescent="0.2">
      <c r="A168" s="9"/>
      <c r="B168" s="9"/>
      <c r="C168" s="11"/>
      <c r="D168">
        <v>23</v>
      </c>
      <c r="E168">
        <v>0</v>
      </c>
      <c r="F168">
        <v>0</v>
      </c>
      <c r="G168">
        <v>0.3</v>
      </c>
      <c r="H168">
        <v>0</v>
      </c>
      <c r="I168">
        <v>1.95E-2</v>
      </c>
      <c r="J168">
        <v>0</v>
      </c>
      <c r="K168">
        <v>0</v>
      </c>
      <c r="L168" s="2">
        <v>0</v>
      </c>
    </row>
    <row r="169" spans="1:12" x14ac:dyDescent="0.2">
      <c r="A169" s="9"/>
      <c r="B169" s="9"/>
      <c r="C169" s="11"/>
      <c r="D169">
        <v>24</v>
      </c>
      <c r="E169">
        <v>0</v>
      </c>
      <c r="F169">
        <v>0</v>
      </c>
      <c r="G169">
        <v>0.3</v>
      </c>
      <c r="H169">
        <v>0</v>
      </c>
      <c r="I169">
        <v>1.95E-2</v>
      </c>
      <c r="J169">
        <v>0</v>
      </c>
      <c r="K169">
        <v>0</v>
      </c>
      <c r="L169" s="2">
        <v>0</v>
      </c>
    </row>
    <row r="170" spans="1:12" x14ac:dyDescent="0.2">
      <c r="A170" s="9"/>
      <c r="B170" s="9"/>
      <c r="C170" s="10">
        <v>8</v>
      </c>
      <c r="D170">
        <v>1</v>
      </c>
      <c r="E170">
        <v>0</v>
      </c>
      <c r="F170">
        <v>4.2113334808042229</v>
      </c>
      <c r="G170">
        <v>0.3</v>
      </c>
      <c r="H170">
        <v>0</v>
      </c>
      <c r="I170">
        <v>1.95E-2</v>
      </c>
      <c r="J170">
        <v>0</v>
      </c>
      <c r="K170">
        <v>0</v>
      </c>
      <c r="L170" s="2">
        <v>22.654251603633231</v>
      </c>
    </row>
    <row r="171" spans="1:12" x14ac:dyDescent="0.2">
      <c r="A171" s="9"/>
      <c r="B171" s="9"/>
      <c r="C171" s="11"/>
      <c r="D171">
        <v>2</v>
      </c>
      <c r="E171">
        <v>0</v>
      </c>
      <c r="F171">
        <v>3.6780375741482221</v>
      </c>
      <c r="G171">
        <v>0.3</v>
      </c>
      <c r="H171">
        <v>0</v>
      </c>
      <c r="I171">
        <v>1.95E-2</v>
      </c>
      <c r="J171">
        <v>0</v>
      </c>
      <c r="K171">
        <v>0</v>
      </c>
      <c r="L171" s="2">
        <v>16.60123445317992</v>
      </c>
    </row>
    <row r="172" spans="1:12" x14ac:dyDescent="0.2">
      <c r="A172" s="9"/>
      <c r="B172" s="9"/>
      <c r="C172" s="11"/>
      <c r="D172">
        <v>3</v>
      </c>
      <c r="E172">
        <v>0</v>
      </c>
      <c r="F172">
        <v>3.290942992962</v>
      </c>
      <c r="G172">
        <v>0.3</v>
      </c>
      <c r="H172">
        <v>0</v>
      </c>
      <c r="I172">
        <v>1.95E-2</v>
      </c>
      <c r="J172">
        <v>0</v>
      </c>
      <c r="K172">
        <v>0</v>
      </c>
      <c r="L172" s="2">
        <v>15.07661010513144</v>
      </c>
    </row>
    <row r="173" spans="1:12" x14ac:dyDescent="0.2">
      <c r="A173" s="9"/>
      <c r="B173" s="9"/>
      <c r="C173" s="11"/>
      <c r="D173">
        <v>4</v>
      </c>
      <c r="E173">
        <v>0</v>
      </c>
      <c r="F173">
        <v>6.0858506852575553</v>
      </c>
      <c r="G173">
        <v>0.3</v>
      </c>
      <c r="H173">
        <v>0</v>
      </c>
      <c r="I173">
        <v>1.95E-2</v>
      </c>
      <c r="J173">
        <v>0</v>
      </c>
      <c r="K173">
        <v>0</v>
      </c>
      <c r="L173" s="2">
        <v>24.429215881077479</v>
      </c>
    </row>
    <row r="174" spans="1:12" x14ac:dyDescent="0.2">
      <c r="A174" s="9"/>
      <c r="B174" s="9"/>
      <c r="C174" s="11"/>
      <c r="D174">
        <v>5</v>
      </c>
      <c r="E174">
        <v>0</v>
      </c>
      <c r="F174">
        <v>8.9808896599320001</v>
      </c>
      <c r="G174">
        <v>0.3</v>
      </c>
      <c r="H174">
        <v>0</v>
      </c>
      <c r="I174">
        <v>1.95E-2</v>
      </c>
      <c r="J174">
        <v>0</v>
      </c>
      <c r="K174">
        <v>0</v>
      </c>
      <c r="L174" s="2">
        <v>34.388271367301883</v>
      </c>
    </row>
    <row r="175" spans="1:12" x14ac:dyDescent="0.2">
      <c r="A175" s="9"/>
      <c r="B175" s="9"/>
      <c r="C175" s="11"/>
      <c r="D175">
        <v>6</v>
      </c>
      <c r="E175">
        <v>0</v>
      </c>
      <c r="F175">
        <v>19.776652371527781</v>
      </c>
      <c r="G175">
        <v>0.3</v>
      </c>
      <c r="H175">
        <v>0</v>
      </c>
      <c r="I175">
        <v>1.95E-2</v>
      </c>
      <c r="J175">
        <v>0</v>
      </c>
      <c r="K175">
        <v>0</v>
      </c>
      <c r="L175" s="2">
        <v>109.13837278786259</v>
      </c>
    </row>
    <row r="176" spans="1:12" x14ac:dyDescent="0.2">
      <c r="A176" s="9"/>
      <c r="B176" s="9"/>
      <c r="C176" s="11"/>
      <c r="D176">
        <v>7</v>
      </c>
      <c r="E176">
        <v>0</v>
      </c>
      <c r="F176">
        <v>75.797985914620895</v>
      </c>
      <c r="G176">
        <v>0.3</v>
      </c>
      <c r="H176">
        <v>0</v>
      </c>
      <c r="I176">
        <v>1.95E-2</v>
      </c>
      <c r="J176">
        <v>0</v>
      </c>
      <c r="K176">
        <v>0</v>
      </c>
      <c r="L176" s="2">
        <v>340.02924664846171</v>
      </c>
    </row>
    <row r="177" spans="1:12" x14ac:dyDescent="0.2">
      <c r="A177" s="9"/>
      <c r="B177" s="9"/>
      <c r="C177" s="11"/>
      <c r="D177">
        <v>8</v>
      </c>
      <c r="E177">
        <v>0</v>
      </c>
      <c r="F177">
        <v>88.768559745941559</v>
      </c>
      <c r="G177">
        <v>0.3</v>
      </c>
      <c r="H177">
        <v>0</v>
      </c>
      <c r="I177">
        <v>1.95E-2</v>
      </c>
      <c r="J177">
        <v>0</v>
      </c>
      <c r="K177">
        <v>0</v>
      </c>
      <c r="L177" s="2">
        <v>430.57525776102358</v>
      </c>
    </row>
    <row r="178" spans="1:12" x14ac:dyDescent="0.2">
      <c r="A178" s="9"/>
      <c r="B178" s="9"/>
      <c r="C178" s="11"/>
      <c r="D178">
        <v>9</v>
      </c>
      <c r="E178">
        <v>0</v>
      </c>
      <c r="F178">
        <v>68.030630989108445</v>
      </c>
      <c r="G178">
        <v>0.3</v>
      </c>
      <c r="H178">
        <v>0</v>
      </c>
      <c r="I178">
        <v>1.95E-2</v>
      </c>
      <c r="J178">
        <v>0</v>
      </c>
      <c r="K178">
        <v>0</v>
      </c>
      <c r="L178" s="2">
        <v>313.93728340496392</v>
      </c>
    </row>
    <row r="179" spans="1:12" x14ac:dyDescent="0.2">
      <c r="A179" s="9"/>
      <c r="B179" s="9"/>
      <c r="C179" s="11"/>
      <c r="D179">
        <v>10</v>
      </c>
      <c r="E179">
        <v>0</v>
      </c>
      <c r="F179">
        <v>53.456568312341552</v>
      </c>
      <c r="G179">
        <v>0.3</v>
      </c>
      <c r="H179">
        <v>0</v>
      </c>
      <c r="I179">
        <v>1.95E-2</v>
      </c>
      <c r="J179">
        <v>0</v>
      </c>
      <c r="K179">
        <v>0</v>
      </c>
      <c r="L179" s="2">
        <v>260.32622516580659</v>
      </c>
    </row>
    <row r="180" spans="1:12" x14ac:dyDescent="0.2">
      <c r="A180" s="9"/>
      <c r="B180" s="9"/>
      <c r="C180" s="11"/>
      <c r="D180">
        <v>11</v>
      </c>
      <c r="E180">
        <v>0</v>
      </c>
      <c r="F180">
        <v>50.802972468251554</v>
      </c>
      <c r="G180">
        <v>0.3</v>
      </c>
      <c r="H180">
        <v>0</v>
      </c>
      <c r="I180">
        <v>1.95E-2</v>
      </c>
      <c r="J180">
        <v>0</v>
      </c>
      <c r="K180">
        <v>0</v>
      </c>
      <c r="L180" s="2">
        <v>251.42542867545609</v>
      </c>
    </row>
    <row r="181" spans="1:12" x14ac:dyDescent="0.2">
      <c r="A181" s="9"/>
      <c r="B181" s="9"/>
      <c r="C181" s="11"/>
      <c r="D181">
        <v>12</v>
      </c>
      <c r="E181">
        <v>0</v>
      </c>
      <c r="F181">
        <v>66.438048841097341</v>
      </c>
      <c r="G181">
        <v>0.3</v>
      </c>
      <c r="H181">
        <v>0</v>
      </c>
      <c r="I181">
        <v>1.95E-2</v>
      </c>
      <c r="J181">
        <v>0</v>
      </c>
      <c r="K181">
        <v>0</v>
      </c>
      <c r="L181" s="2">
        <v>351.29249616313223</v>
      </c>
    </row>
    <row r="182" spans="1:12" x14ac:dyDescent="0.2">
      <c r="A182" s="9"/>
      <c r="B182" s="9"/>
      <c r="C182" s="11"/>
      <c r="D182">
        <v>13</v>
      </c>
      <c r="E182">
        <v>0</v>
      </c>
      <c r="F182">
        <v>58.455254654331107</v>
      </c>
      <c r="G182">
        <v>0.3</v>
      </c>
      <c r="H182">
        <v>0</v>
      </c>
      <c r="I182">
        <v>1.95E-2</v>
      </c>
      <c r="J182">
        <v>0</v>
      </c>
      <c r="K182">
        <v>0</v>
      </c>
      <c r="L182" s="2">
        <v>319.73516583170021</v>
      </c>
    </row>
    <row r="183" spans="1:12" x14ac:dyDescent="0.2">
      <c r="A183" s="9"/>
      <c r="B183" s="9"/>
      <c r="C183" s="11"/>
      <c r="D183">
        <v>14</v>
      </c>
      <c r="E183">
        <v>0</v>
      </c>
      <c r="F183">
        <v>66.34357975468933</v>
      </c>
      <c r="G183">
        <v>0.3</v>
      </c>
      <c r="H183">
        <v>0</v>
      </c>
      <c r="I183">
        <v>1.95E-2</v>
      </c>
      <c r="J183">
        <v>0</v>
      </c>
      <c r="K183">
        <v>0</v>
      </c>
      <c r="L183" s="2">
        <v>350.97515725512</v>
      </c>
    </row>
    <row r="184" spans="1:12" x14ac:dyDescent="0.2">
      <c r="A184" s="9"/>
      <c r="B184" s="9"/>
      <c r="C184" s="11"/>
      <c r="D184">
        <v>15</v>
      </c>
      <c r="E184">
        <v>0</v>
      </c>
      <c r="F184">
        <v>53.921454970720887</v>
      </c>
      <c r="G184">
        <v>0.3</v>
      </c>
      <c r="H184">
        <v>0</v>
      </c>
      <c r="I184">
        <v>1.95E-2</v>
      </c>
      <c r="J184">
        <v>0</v>
      </c>
      <c r="K184">
        <v>0</v>
      </c>
      <c r="L184" s="2">
        <v>274.67821101294783</v>
      </c>
    </row>
    <row r="185" spans="1:12" x14ac:dyDescent="0.2">
      <c r="A185" s="9"/>
      <c r="B185" s="9"/>
      <c r="C185" s="11"/>
      <c r="D185">
        <v>16</v>
      </c>
      <c r="E185">
        <v>0</v>
      </c>
      <c r="F185">
        <v>66.573338626639995</v>
      </c>
      <c r="G185">
        <v>0.3</v>
      </c>
      <c r="H185">
        <v>0</v>
      </c>
      <c r="I185">
        <v>1.95E-2</v>
      </c>
      <c r="J185">
        <v>0</v>
      </c>
      <c r="K185">
        <v>0</v>
      </c>
      <c r="L185" s="2">
        <v>321.85346839158598</v>
      </c>
    </row>
    <row r="186" spans="1:12" x14ac:dyDescent="0.2">
      <c r="A186" s="9"/>
      <c r="B186" s="9"/>
      <c r="C186" s="11"/>
      <c r="D186">
        <v>17</v>
      </c>
      <c r="E186">
        <v>0</v>
      </c>
      <c r="F186">
        <v>93.711965914551769</v>
      </c>
      <c r="G186">
        <v>0.3</v>
      </c>
      <c r="H186">
        <v>0</v>
      </c>
      <c r="I186">
        <v>1.95E-2</v>
      </c>
      <c r="J186">
        <v>0</v>
      </c>
      <c r="K186">
        <v>0</v>
      </c>
      <c r="L186" s="2">
        <v>442.91056288097741</v>
      </c>
    </row>
    <row r="187" spans="1:12" x14ac:dyDescent="0.2">
      <c r="A187" s="9"/>
      <c r="B187" s="9"/>
      <c r="C187" s="11"/>
      <c r="D187">
        <v>18</v>
      </c>
      <c r="E187">
        <v>0</v>
      </c>
      <c r="F187">
        <v>111.14207401959671</v>
      </c>
      <c r="G187">
        <v>0.3</v>
      </c>
      <c r="H187">
        <v>0</v>
      </c>
      <c r="I187">
        <v>1.95E-2</v>
      </c>
      <c r="J187">
        <v>0</v>
      </c>
      <c r="K187">
        <v>0</v>
      </c>
      <c r="L187" s="2">
        <v>518.54347291435238</v>
      </c>
    </row>
    <row r="188" spans="1:12" x14ac:dyDescent="0.2">
      <c r="A188" s="9"/>
      <c r="B188" s="9"/>
      <c r="C188" s="11"/>
      <c r="D188">
        <v>19</v>
      </c>
      <c r="E188">
        <v>0</v>
      </c>
      <c r="F188">
        <v>91.57491541894089</v>
      </c>
      <c r="G188">
        <v>0.3</v>
      </c>
      <c r="H188">
        <v>0</v>
      </c>
      <c r="I188">
        <v>1.95E-2</v>
      </c>
      <c r="J188">
        <v>0</v>
      </c>
      <c r="K188">
        <v>0</v>
      </c>
      <c r="L188" s="2">
        <v>418.64982533780369</v>
      </c>
    </row>
    <row r="189" spans="1:12" x14ac:dyDescent="0.2">
      <c r="A189" s="9"/>
      <c r="B189" s="9"/>
      <c r="C189" s="11"/>
      <c r="D189">
        <v>20</v>
      </c>
      <c r="E189">
        <v>0</v>
      </c>
      <c r="F189">
        <v>54.568909491699777</v>
      </c>
      <c r="G189">
        <v>0.3</v>
      </c>
      <c r="H189">
        <v>0</v>
      </c>
      <c r="I189">
        <v>1.95E-2</v>
      </c>
      <c r="J189">
        <v>0</v>
      </c>
      <c r="K189">
        <v>0</v>
      </c>
      <c r="L189" s="2">
        <v>268.71690325329757</v>
      </c>
    </row>
    <row r="190" spans="1:12" x14ac:dyDescent="0.2">
      <c r="A190" s="9"/>
      <c r="B190" s="9"/>
      <c r="C190" s="11"/>
      <c r="D190">
        <v>21</v>
      </c>
      <c r="E190">
        <v>0</v>
      </c>
      <c r="F190">
        <v>33.375713767506888</v>
      </c>
      <c r="G190">
        <v>0.3</v>
      </c>
      <c r="H190">
        <v>0</v>
      </c>
      <c r="I190">
        <v>1.95E-2</v>
      </c>
      <c r="J190">
        <v>0</v>
      </c>
      <c r="K190">
        <v>0</v>
      </c>
      <c r="L190" s="2">
        <v>175.91336650225199</v>
      </c>
    </row>
    <row r="191" spans="1:12" x14ac:dyDescent="0.2">
      <c r="A191" s="9"/>
      <c r="B191" s="9"/>
      <c r="C191" s="11"/>
      <c r="D191">
        <v>22</v>
      </c>
      <c r="E191">
        <v>0</v>
      </c>
      <c r="F191">
        <v>29.214320345320441</v>
      </c>
      <c r="G191">
        <v>0.3</v>
      </c>
      <c r="H191">
        <v>0</v>
      </c>
      <c r="I191">
        <v>1.95E-2</v>
      </c>
      <c r="J191">
        <v>0</v>
      </c>
      <c r="K191">
        <v>0</v>
      </c>
      <c r="L191" s="2">
        <v>138.14997260292591</v>
      </c>
    </row>
    <row r="192" spans="1:12" x14ac:dyDescent="0.2">
      <c r="A192" s="9"/>
      <c r="B192" s="9"/>
      <c r="C192" s="11"/>
      <c r="D192">
        <v>23</v>
      </c>
      <c r="E192">
        <v>0</v>
      </c>
      <c r="F192">
        <v>0</v>
      </c>
      <c r="G192">
        <v>0.3</v>
      </c>
      <c r="H192">
        <v>0</v>
      </c>
      <c r="I192">
        <v>1.95E-2</v>
      </c>
      <c r="J192">
        <v>0</v>
      </c>
      <c r="K192">
        <v>0</v>
      </c>
      <c r="L192" s="2">
        <v>0</v>
      </c>
    </row>
    <row r="193" spans="1:12" x14ac:dyDescent="0.2">
      <c r="A193" s="9"/>
      <c r="B193" s="9"/>
      <c r="C193" s="11"/>
      <c r="D193">
        <v>24</v>
      </c>
      <c r="E193">
        <v>0</v>
      </c>
      <c r="F193">
        <v>0</v>
      </c>
      <c r="G193">
        <v>0.3</v>
      </c>
      <c r="H193">
        <v>0</v>
      </c>
      <c r="I193">
        <v>1.95E-2</v>
      </c>
      <c r="J193">
        <v>0</v>
      </c>
      <c r="K193">
        <v>0</v>
      </c>
      <c r="L193" s="2">
        <v>0</v>
      </c>
    </row>
    <row r="194" spans="1:12" x14ac:dyDescent="0.2">
      <c r="A194" s="9"/>
      <c r="B194" s="9"/>
      <c r="C194" s="10">
        <v>9</v>
      </c>
      <c r="D194">
        <v>1</v>
      </c>
      <c r="E194">
        <v>0</v>
      </c>
      <c r="F194">
        <v>4.2201290401713996</v>
      </c>
      <c r="G194">
        <v>0.3</v>
      </c>
      <c r="H194">
        <v>0</v>
      </c>
      <c r="I194">
        <v>1.95E-2</v>
      </c>
      <c r="J194">
        <v>0</v>
      </c>
      <c r="K194">
        <v>0</v>
      </c>
      <c r="L194" s="2">
        <v>22.654251603633231</v>
      </c>
    </row>
    <row r="195" spans="1:12" x14ac:dyDescent="0.2">
      <c r="A195" s="9"/>
      <c r="B195" s="9"/>
      <c r="C195" s="11"/>
      <c r="D195">
        <v>2</v>
      </c>
      <c r="E195">
        <v>0</v>
      </c>
      <c r="F195">
        <v>3.6825066331717999</v>
      </c>
      <c r="G195">
        <v>0.3</v>
      </c>
      <c r="H195">
        <v>0</v>
      </c>
      <c r="I195">
        <v>1.95E-2</v>
      </c>
      <c r="J195">
        <v>0</v>
      </c>
      <c r="K195">
        <v>0</v>
      </c>
      <c r="L195" s="2">
        <v>16.60123445317992</v>
      </c>
    </row>
    <row r="196" spans="1:12" x14ac:dyDescent="0.2">
      <c r="A196" s="9"/>
      <c r="B196" s="9"/>
      <c r="C196" s="11"/>
      <c r="D196">
        <v>3</v>
      </c>
      <c r="E196">
        <v>0</v>
      </c>
      <c r="F196">
        <v>3.2279495335776001</v>
      </c>
      <c r="G196">
        <v>0.3</v>
      </c>
      <c r="H196">
        <v>0</v>
      </c>
      <c r="I196">
        <v>1.95E-2</v>
      </c>
      <c r="J196">
        <v>0</v>
      </c>
      <c r="K196">
        <v>0</v>
      </c>
      <c r="L196" s="2">
        <v>15.07661010513144</v>
      </c>
    </row>
    <row r="197" spans="1:12" x14ac:dyDescent="0.2">
      <c r="A197" s="9"/>
      <c r="B197" s="9"/>
      <c r="C197" s="11"/>
      <c r="D197">
        <v>4</v>
      </c>
      <c r="E197">
        <v>0</v>
      </c>
      <c r="F197">
        <v>6.0163697504020002</v>
      </c>
      <c r="G197">
        <v>0.3</v>
      </c>
      <c r="H197">
        <v>0</v>
      </c>
      <c r="I197">
        <v>1.95E-2</v>
      </c>
      <c r="J197">
        <v>0</v>
      </c>
      <c r="K197">
        <v>0</v>
      </c>
      <c r="L197" s="2">
        <v>24.429215881077479</v>
      </c>
    </row>
    <row r="198" spans="1:12" x14ac:dyDescent="0.2">
      <c r="A198" s="9"/>
      <c r="B198" s="9"/>
      <c r="C198" s="11"/>
      <c r="D198">
        <v>5</v>
      </c>
      <c r="E198">
        <v>0</v>
      </c>
      <c r="F198">
        <v>8.9855991099550003</v>
      </c>
      <c r="G198">
        <v>0.3</v>
      </c>
      <c r="H198">
        <v>0</v>
      </c>
      <c r="I198">
        <v>1.95E-2</v>
      </c>
      <c r="J198">
        <v>0</v>
      </c>
      <c r="K198">
        <v>0</v>
      </c>
      <c r="L198" s="2">
        <v>34.388271367301883</v>
      </c>
    </row>
    <row r="199" spans="1:12" x14ac:dyDescent="0.2">
      <c r="A199" s="9"/>
      <c r="B199" s="9"/>
      <c r="C199" s="11"/>
      <c r="D199">
        <v>6</v>
      </c>
      <c r="E199">
        <v>0</v>
      </c>
      <c r="F199">
        <v>19.820665549729998</v>
      </c>
      <c r="G199">
        <v>0.3</v>
      </c>
      <c r="H199">
        <v>0</v>
      </c>
      <c r="I199">
        <v>1.95E-2</v>
      </c>
      <c r="J199">
        <v>0</v>
      </c>
      <c r="K199">
        <v>0</v>
      </c>
      <c r="L199" s="2">
        <v>109.13837278786259</v>
      </c>
    </row>
    <row r="200" spans="1:12" x14ac:dyDescent="0.2">
      <c r="A200" s="9"/>
      <c r="B200" s="9"/>
      <c r="C200" s="11"/>
      <c r="D200">
        <v>7</v>
      </c>
      <c r="E200">
        <v>0</v>
      </c>
      <c r="F200">
        <v>75.887759532812197</v>
      </c>
      <c r="G200">
        <v>0.3</v>
      </c>
      <c r="H200">
        <v>0</v>
      </c>
      <c r="I200">
        <v>1.95E-2</v>
      </c>
      <c r="J200">
        <v>0</v>
      </c>
      <c r="K200">
        <v>0</v>
      </c>
      <c r="L200" s="2">
        <v>340.02924664846171</v>
      </c>
    </row>
    <row r="201" spans="1:12" x14ac:dyDescent="0.2">
      <c r="A201" s="9"/>
      <c r="B201" s="9"/>
      <c r="C201" s="11"/>
      <c r="D201">
        <v>8</v>
      </c>
      <c r="E201">
        <v>0</v>
      </c>
      <c r="F201">
        <v>88.906324418718995</v>
      </c>
      <c r="G201">
        <v>0.3</v>
      </c>
      <c r="H201">
        <v>0</v>
      </c>
      <c r="I201">
        <v>1.95E-2</v>
      </c>
      <c r="J201">
        <v>0</v>
      </c>
      <c r="K201">
        <v>0</v>
      </c>
      <c r="L201" s="2">
        <v>430.57525776102358</v>
      </c>
    </row>
    <row r="202" spans="1:12" x14ac:dyDescent="0.2">
      <c r="A202" s="9"/>
      <c r="B202" s="9"/>
      <c r="C202" s="11"/>
      <c r="D202">
        <v>9</v>
      </c>
      <c r="E202">
        <v>0</v>
      </c>
      <c r="F202">
        <v>68.120030163325794</v>
      </c>
      <c r="G202">
        <v>0.3</v>
      </c>
      <c r="H202">
        <v>0</v>
      </c>
      <c r="I202">
        <v>1.95E-2</v>
      </c>
      <c r="J202">
        <v>0</v>
      </c>
      <c r="K202">
        <v>0</v>
      </c>
      <c r="L202" s="2">
        <v>313.93728340496392</v>
      </c>
    </row>
    <row r="203" spans="1:12" x14ac:dyDescent="0.2">
      <c r="A203" s="9"/>
      <c r="B203" s="9"/>
      <c r="C203" s="11"/>
      <c r="D203">
        <v>10</v>
      </c>
      <c r="E203">
        <v>0</v>
      </c>
      <c r="F203">
        <v>53.540735797222787</v>
      </c>
      <c r="G203">
        <v>0.3</v>
      </c>
      <c r="H203">
        <v>0</v>
      </c>
      <c r="I203">
        <v>1.95E-2</v>
      </c>
      <c r="J203">
        <v>0</v>
      </c>
      <c r="K203">
        <v>0</v>
      </c>
      <c r="L203" s="2">
        <v>260.32622516580659</v>
      </c>
    </row>
    <row r="204" spans="1:12" x14ac:dyDescent="0.2">
      <c r="A204" s="9"/>
      <c r="B204" s="9"/>
      <c r="C204" s="11"/>
      <c r="D204">
        <v>11</v>
      </c>
      <c r="E204">
        <v>0</v>
      </c>
      <c r="F204">
        <v>50.887019659270599</v>
      </c>
      <c r="G204">
        <v>0.3</v>
      </c>
      <c r="H204">
        <v>0</v>
      </c>
      <c r="I204">
        <v>1.95E-2</v>
      </c>
      <c r="J204">
        <v>0</v>
      </c>
      <c r="K204">
        <v>0</v>
      </c>
      <c r="L204" s="2">
        <v>251.42542867545609</v>
      </c>
    </row>
    <row r="205" spans="1:12" x14ac:dyDescent="0.2">
      <c r="A205" s="9"/>
      <c r="B205" s="9"/>
      <c r="C205" s="11"/>
      <c r="D205">
        <v>12</v>
      </c>
      <c r="E205">
        <v>0</v>
      </c>
      <c r="F205">
        <v>66.570431038314197</v>
      </c>
      <c r="G205">
        <v>0.3</v>
      </c>
      <c r="H205">
        <v>0</v>
      </c>
      <c r="I205">
        <v>1.95E-2</v>
      </c>
      <c r="J205">
        <v>0</v>
      </c>
      <c r="K205">
        <v>0</v>
      </c>
      <c r="L205" s="2">
        <v>351.29249616313223</v>
      </c>
    </row>
    <row r="206" spans="1:12" x14ac:dyDescent="0.2">
      <c r="A206" s="9"/>
      <c r="B206" s="9"/>
      <c r="C206" s="11"/>
      <c r="D206">
        <v>13</v>
      </c>
      <c r="E206">
        <v>0</v>
      </c>
      <c r="F206">
        <v>58.442676411601987</v>
      </c>
      <c r="G206">
        <v>0.3</v>
      </c>
      <c r="H206">
        <v>0</v>
      </c>
      <c r="I206">
        <v>1.95E-2</v>
      </c>
      <c r="J206">
        <v>0</v>
      </c>
      <c r="K206">
        <v>0</v>
      </c>
      <c r="L206" s="2">
        <v>319.73516583170021</v>
      </c>
    </row>
    <row r="207" spans="1:12" x14ac:dyDescent="0.2">
      <c r="A207" s="9"/>
      <c r="B207" s="9"/>
      <c r="C207" s="11"/>
      <c r="D207">
        <v>14</v>
      </c>
      <c r="E207">
        <v>0</v>
      </c>
      <c r="F207">
        <v>66.475957397797202</v>
      </c>
      <c r="G207">
        <v>0.3</v>
      </c>
      <c r="H207">
        <v>0</v>
      </c>
      <c r="I207">
        <v>1.95E-2</v>
      </c>
      <c r="J207">
        <v>0</v>
      </c>
      <c r="K207">
        <v>0</v>
      </c>
      <c r="L207" s="2">
        <v>350.97515725512</v>
      </c>
    </row>
    <row r="208" spans="1:12" x14ac:dyDescent="0.2">
      <c r="A208" s="9"/>
      <c r="B208" s="9"/>
      <c r="C208" s="11"/>
      <c r="D208">
        <v>15</v>
      </c>
      <c r="E208">
        <v>0</v>
      </c>
      <c r="F208">
        <v>54.018550504313197</v>
      </c>
      <c r="G208">
        <v>0.3</v>
      </c>
      <c r="H208">
        <v>0</v>
      </c>
      <c r="I208">
        <v>1.95E-2</v>
      </c>
      <c r="J208">
        <v>0</v>
      </c>
      <c r="K208">
        <v>0</v>
      </c>
      <c r="L208" s="2">
        <v>274.67821101294783</v>
      </c>
    </row>
    <row r="209" spans="1:12" x14ac:dyDescent="0.2">
      <c r="A209" s="9"/>
      <c r="B209" s="9"/>
      <c r="C209" s="11"/>
      <c r="D209">
        <v>16</v>
      </c>
      <c r="E209">
        <v>0</v>
      </c>
      <c r="F209">
        <v>66.675585487756393</v>
      </c>
      <c r="G209">
        <v>0.3</v>
      </c>
      <c r="H209">
        <v>0</v>
      </c>
      <c r="I209">
        <v>1.95E-2</v>
      </c>
      <c r="J209">
        <v>0</v>
      </c>
      <c r="K209">
        <v>0</v>
      </c>
      <c r="L209" s="2">
        <v>321.85346839158598</v>
      </c>
    </row>
    <row r="210" spans="1:12" x14ac:dyDescent="0.2">
      <c r="A210" s="9"/>
      <c r="B210" s="9"/>
      <c r="C210" s="11"/>
      <c r="D210">
        <v>17</v>
      </c>
      <c r="E210">
        <v>0</v>
      </c>
      <c r="F210">
        <v>93.845662916355991</v>
      </c>
      <c r="G210">
        <v>0.3</v>
      </c>
      <c r="H210">
        <v>0</v>
      </c>
      <c r="I210">
        <v>1.95E-2</v>
      </c>
      <c r="J210">
        <v>0</v>
      </c>
      <c r="K210">
        <v>0</v>
      </c>
      <c r="L210" s="2">
        <v>442.91056288097741</v>
      </c>
    </row>
    <row r="211" spans="1:12" x14ac:dyDescent="0.2">
      <c r="A211" s="9"/>
      <c r="B211" s="9"/>
      <c r="C211" s="11"/>
      <c r="D211">
        <v>18</v>
      </c>
      <c r="E211">
        <v>0</v>
      </c>
      <c r="F211">
        <v>111.293835200464</v>
      </c>
      <c r="G211">
        <v>0.3</v>
      </c>
      <c r="H211">
        <v>0</v>
      </c>
      <c r="I211">
        <v>1.95E-2</v>
      </c>
      <c r="J211">
        <v>0</v>
      </c>
      <c r="K211">
        <v>0</v>
      </c>
      <c r="L211" s="2">
        <v>518.54347291435238</v>
      </c>
    </row>
    <row r="212" spans="1:12" x14ac:dyDescent="0.2">
      <c r="A212" s="9"/>
      <c r="B212" s="9"/>
      <c r="C212" s="11"/>
      <c r="D212">
        <v>19</v>
      </c>
      <c r="E212">
        <v>0</v>
      </c>
      <c r="F212">
        <v>91.691285480203803</v>
      </c>
      <c r="G212">
        <v>0.3</v>
      </c>
      <c r="H212">
        <v>0</v>
      </c>
      <c r="I212">
        <v>1.95E-2</v>
      </c>
      <c r="J212">
        <v>0</v>
      </c>
      <c r="K212">
        <v>0</v>
      </c>
      <c r="L212" s="2">
        <v>418.64982533780369</v>
      </c>
    </row>
    <row r="213" spans="1:12" x14ac:dyDescent="0.2">
      <c r="A213" s="9"/>
      <c r="B213" s="9"/>
      <c r="C213" s="11"/>
      <c r="D213">
        <v>20</v>
      </c>
      <c r="E213">
        <v>0</v>
      </c>
      <c r="F213">
        <v>54.775317016886198</v>
      </c>
      <c r="G213">
        <v>0.3</v>
      </c>
      <c r="H213">
        <v>0</v>
      </c>
      <c r="I213">
        <v>1.95E-2</v>
      </c>
      <c r="J213">
        <v>0</v>
      </c>
      <c r="K213">
        <v>0</v>
      </c>
      <c r="L213" s="2">
        <v>268.71690325329757</v>
      </c>
    </row>
    <row r="214" spans="1:12" x14ac:dyDescent="0.2">
      <c r="A214" s="9"/>
      <c r="B214" s="9"/>
      <c r="C214" s="11"/>
      <c r="D214">
        <v>21</v>
      </c>
      <c r="E214">
        <v>0</v>
      </c>
      <c r="F214">
        <v>33.441761640058203</v>
      </c>
      <c r="G214">
        <v>0.3</v>
      </c>
      <c r="H214">
        <v>0</v>
      </c>
      <c r="I214">
        <v>1.95E-2</v>
      </c>
      <c r="J214">
        <v>0</v>
      </c>
      <c r="K214">
        <v>0</v>
      </c>
      <c r="L214" s="2">
        <v>175.91336650225199</v>
      </c>
    </row>
    <row r="215" spans="1:12" x14ac:dyDescent="0.2">
      <c r="A215" s="9"/>
      <c r="B215" s="9"/>
      <c r="C215" s="11"/>
      <c r="D215">
        <v>22</v>
      </c>
      <c r="E215">
        <v>0</v>
      </c>
      <c r="F215">
        <v>27.673847717882602</v>
      </c>
      <c r="G215">
        <v>0.3</v>
      </c>
      <c r="H215">
        <v>0</v>
      </c>
      <c r="I215">
        <v>1.95E-2</v>
      </c>
      <c r="J215">
        <v>0</v>
      </c>
      <c r="K215">
        <v>0</v>
      </c>
      <c r="L215" s="2">
        <v>138.14997260292591</v>
      </c>
    </row>
    <row r="216" spans="1:12" x14ac:dyDescent="0.2">
      <c r="A216" s="9"/>
      <c r="B216" s="9"/>
      <c r="C216" s="11"/>
      <c r="D216">
        <v>23</v>
      </c>
      <c r="E216">
        <v>0</v>
      </c>
      <c r="F216">
        <v>0</v>
      </c>
      <c r="G216">
        <v>0.3</v>
      </c>
      <c r="H216">
        <v>0</v>
      </c>
      <c r="I216">
        <v>1.95E-2</v>
      </c>
      <c r="J216">
        <v>0</v>
      </c>
      <c r="K216">
        <v>0</v>
      </c>
      <c r="L216" s="2">
        <v>0</v>
      </c>
    </row>
    <row r="217" spans="1:12" x14ac:dyDescent="0.2">
      <c r="A217" s="9"/>
      <c r="B217" s="9"/>
      <c r="C217" s="11"/>
      <c r="D217">
        <v>24</v>
      </c>
      <c r="E217">
        <v>0</v>
      </c>
      <c r="F217">
        <v>0</v>
      </c>
      <c r="G217">
        <v>0.3</v>
      </c>
      <c r="H217">
        <v>0</v>
      </c>
      <c r="I217">
        <v>1.95E-2</v>
      </c>
      <c r="J217">
        <v>0</v>
      </c>
      <c r="K217">
        <v>0</v>
      </c>
      <c r="L217" s="2">
        <v>0</v>
      </c>
    </row>
    <row r="218" spans="1:12" x14ac:dyDescent="0.2">
      <c r="A218" s="9"/>
      <c r="B218" s="9"/>
      <c r="C218" s="10">
        <v>10</v>
      </c>
      <c r="D218">
        <v>1</v>
      </c>
      <c r="E218">
        <v>0</v>
      </c>
      <c r="F218">
        <v>4.2911336909257143</v>
      </c>
      <c r="G218">
        <v>0.3</v>
      </c>
      <c r="H218">
        <v>0</v>
      </c>
      <c r="I218">
        <v>1.95E-2</v>
      </c>
      <c r="J218">
        <v>0</v>
      </c>
      <c r="K218">
        <v>0</v>
      </c>
      <c r="L218" s="2">
        <v>22.654251603633231</v>
      </c>
    </row>
    <row r="219" spans="1:12" x14ac:dyDescent="0.2">
      <c r="A219" s="9"/>
      <c r="B219" s="9"/>
      <c r="C219" s="11"/>
      <c r="D219">
        <v>2</v>
      </c>
      <c r="E219">
        <v>0</v>
      </c>
      <c r="F219">
        <v>3.634925076174286</v>
      </c>
      <c r="G219">
        <v>0.3</v>
      </c>
      <c r="H219">
        <v>0</v>
      </c>
      <c r="I219">
        <v>1.95E-2</v>
      </c>
      <c r="J219">
        <v>0</v>
      </c>
      <c r="K219">
        <v>0</v>
      </c>
      <c r="L219" s="2">
        <v>16.60123445317992</v>
      </c>
    </row>
    <row r="220" spans="1:12" x14ac:dyDescent="0.2">
      <c r="A220" s="9"/>
      <c r="B220" s="9"/>
      <c r="C220" s="11"/>
      <c r="D220">
        <v>3</v>
      </c>
      <c r="E220">
        <v>0</v>
      </c>
      <c r="F220">
        <v>3.1809306179200001</v>
      </c>
      <c r="G220">
        <v>0.3</v>
      </c>
      <c r="H220">
        <v>0</v>
      </c>
      <c r="I220">
        <v>1.95E-2</v>
      </c>
      <c r="J220">
        <v>0</v>
      </c>
      <c r="K220">
        <v>0</v>
      </c>
      <c r="L220" s="2">
        <v>15.07661010513144</v>
      </c>
    </row>
    <row r="221" spans="1:12" x14ac:dyDescent="0.2">
      <c r="A221" s="9"/>
      <c r="B221" s="9"/>
      <c r="C221" s="11"/>
      <c r="D221">
        <v>4</v>
      </c>
      <c r="E221">
        <v>0</v>
      </c>
      <c r="F221">
        <v>6.0527211437028567</v>
      </c>
      <c r="G221">
        <v>0.3</v>
      </c>
      <c r="H221">
        <v>0</v>
      </c>
      <c r="I221">
        <v>1.95E-2</v>
      </c>
      <c r="J221">
        <v>0</v>
      </c>
      <c r="K221">
        <v>0</v>
      </c>
      <c r="L221" s="2">
        <v>24.429215881077479</v>
      </c>
    </row>
    <row r="222" spans="1:12" x14ac:dyDescent="0.2">
      <c r="A222" s="9"/>
      <c r="B222" s="9"/>
      <c r="C222" s="11"/>
      <c r="D222">
        <v>5</v>
      </c>
      <c r="E222">
        <v>0</v>
      </c>
      <c r="F222">
        <v>9.0225958899464285</v>
      </c>
      <c r="G222">
        <v>0.3</v>
      </c>
      <c r="H222">
        <v>0</v>
      </c>
      <c r="I222">
        <v>1.95E-2</v>
      </c>
      <c r="J222">
        <v>0</v>
      </c>
      <c r="K222">
        <v>0</v>
      </c>
      <c r="L222" s="2">
        <v>34.388271367301883</v>
      </c>
    </row>
    <row r="223" spans="1:12" x14ac:dyDescent="0.2">
      <c r="A223" s="9"/>
      <c r="B223" s="9"/>
      <c r="C223" s="11"/>
      <c r="D223">
        <v>6</v>
      </c>
      <c r="E223">
        <v>0</v>
      </c>
      <c r="F223">
        <v>19.413624603282141</v>
      </c>
      <c r="G223">
        <v>0.3</v>
      </c>
      <c r="H223">
        <v>0</v>
      </c>
      <c r="I223">
        <v>1.95E-2</v>
      </c>
      <c r="J223">
        <v>0</v>
      </c>
      <c r="K223">
        <v>0</v>
      </c>
      <c r="L223" s="2">
        <v>109.13837278786259</v>
      </c>
    </row>
    <row r="224" spans="1:12" x14ac:dyDescent="0.2">
      <c r="A224" s="9"/>
      <c r="B224" s="9"/>
      <c r="C224" s="11"/>
      <c r="D224">
        <v>7</v>
      </c>
      <c r="E224">
        <v>0</v>
      </c>
      <c r="F224">
        <v>75.082055734037141</v>
      </c>
      <c r="G224">
        <v>0.3</v>
      </c>
      <c r="H224">
        <v>0</v>
      </c>
      <c r="I224">
        <v>1.95E-2</v>
      </c>
      <c r="J224">
        <v>0</v>
      </c>
      <c r="K224">
        <v>0</v>
      </c>
      <c r="L224" s="2">
        <v>340.02924664846171</v>
      </c>
    </row>
    <row r="225" spans="1:12" x14ac:dyDescent="0.2">
      <c r="A225" s="9"/>
      <c r="B225" s="9"/>
      <c r="C225" s="11"/>
      <c r="D225">
        <v>8</v>
      </c>
      <c r="E225">
        <v>0</v>
      </c>
      <c r="F225">
        <v>87.650845183501431</v>
      </c>
      <c r="G225">
        <v>0.3</v>
      </c>
      <c r="H225">
        <v>0</v>
      </c>
      <c r="I225">
        <v>1.95E-2</v>
      </c>
      <c r="J225">
        <v>0</v>
      </c>
      <c r="K225">
        <v>0</v>
      </c>
      <c r="L225" s="2">
        <v>430.57525776102358</v>
      </c>
    </row>
    <row r="226" spans="1:12" x14ac:dyDescent="0.2">
      <c r="A226" s="9"/>
      <c r="B226" s="9"/>
      <c r="C226" s="11"/>
      <c r="D226">
        <v>9</v>
      </c>
      <c r="E226">
        <v>0</v>
      </c>
      <c r="F226">
        <v>68.836998617992862</v>
      </c>
      <c r="G226">
        <v>0.3</v>
      </c>
      <c r="H226">
        <v>0</v>
      </c>
      <c r="I226">
        <v>1.95E-2</v>
      </c>
      <c r="J226">
        <v>0</v>
      </c>
      <c r="K226">
        <v>0</v>
      </c>
      <c r="L226" s="2">
        <v>313.93728340496392</v>
      </c>
    </row>
    <row r="227" spans="1:12" x14ac:dyDescent="0.2">
      <c r="A227" s="9"/>
      <c r="B227" s="9"/>
      <c r="C227" s="11"/>
      <c r="D227">
        <v>10</v>
      </c>
      <c r="E227">
        <v>0</v>
      </c>
      <c r="F227">
        <v>52.657019077939999</v>
      </c>
      <c r="G227">
        <v>0.3</v>
      </c>
      <c r="H227">
        <v>0</v>
      </c>
      <c r="I227">
        <v>1.95E-2</v>
      </c>
      <c r="J227">
        <v>0</v>
      </c>
      <c r="K227">
        <v>0</v>
      </c>
      <c r="L227" s="2">
        <v>260.32622516580659</v>
      </c>
    </row>
    <row r="228" spans="1:12" x14ac:dyDescent="0.2">
      <c r="A228" s="9"/>
      <c r="B228" s="9"/>
      <c r="C228" s="11"/>
      <c r="D228">
        <v>11</v>
      </c>
      <c r="E228">
        <v>0</v>
      </c>
      <c r="F228">
        <v>50.006587654725713</v>
      </c>
      <c r="G228">
        <v>0.3</v>
      </c>
      <c r="H228">
        <v>0</v>
      </c>
      <c r="I228">
        <v>1.95E-2</v>
      </c>
      <c r="J228">
        <v>0</v>
      </c>
      <c r="K228">
        <v>0</v>
      </c>
      <c r="L228" s="2">
        <v>251.42542867545609</v>
      </c>
    </row>
    <row r="229" spans="1:12" x14ac:dyDescent="0.2">
      <c r="A229" s="9"/>
      <c r="B229" s="9"/>
      <c r="C229" s="11"/>
      <c r="D229">
        <v>12</v>
      </c>
      <c r="E229">
        <v>0</v>
      </c>
      <c r="F229">
        <v>67.637652821095713</v>
      </c>
      <c r="G229">
        <v>0.3</v>
      </c>
      <c r="H229">
        <v>0</v>
      </c>
      <c r="I229">
        <v>1.95E-2</v>
      </c>
      <c r="J229">
        <v>0</v>
      </c>
      <c r="K229">
        <v>0</v>
      </c>
      <c r="L229" s="2">
        <v>351.29249616313223</v>
      </c>
    </row>
    <row r="230" spans="1:12" x14ac:dyDescent="0.2">
      <c r="A230" s="9"/>
      <c r="B230" s="9"/>
      <c r="C230" s="11"/>
      <c r="D230">
        <v>13</v>
      </c>
      <c r="E230">
        <v>0</v>
      </c>
      <c r="F230">
        <v>59.47295837330428</v>
      </c>
      <c r="G230">
        <v>0.3</v>
      </c>
      <c r="H230">
        <v>0</v>
      </c>
      <c r="I230">
        <v>1.95E-2</v>
      </c>
      <c r="J230">
        <v>0</v>
      </c>
      <c r="K230">
        <v>0</v>
      </c>
      <c r="L230" s="2">
        <v>319.73516583170021</v>
      </c>
    </row>
    <row r="231" spans="1:12" x14ac:dyDescent="0.2">
      <c r="A231" s="9"/>
      <c r="B231" s="9"/>
      <c r="C231" s="11"/>
      <c r="D231">
        <v>14</v>
      </c>
      <c r="E231">
        <v>0</v>
      </c>
      <c r="F231">
        <v>67.543157343695</v>
      </c>
      <c r="G231">
        <v>0.3</v>
      </c>
      <c r="H231">
        <v>0</v>
      </c>
      <c r="I231">
        <v>1.95E-2</v>
      </c>
      <c r="J231">
        <v>0</v>
      </c>
      <c r="K231">
        <v>0</v>
      </c>
      <c r="L231" s="2">
        <v>350.97515725512</v>
      </c>
    </row>
    <row r="232" spans="1:12" x14ac:dyDescent="0.2">
      <c r="A232" s="9"/>
      <c r="B232" s="9"/>
      <c r="C232" s="11"/>
      <c r="D232">
        <v>15</v>
      </c>
      <c r="E232">
        <v>0</v>
      </c>
      <c r="F232">
        <v>54.682086553034999</v>
      </c>
      <c r="G232">
        <v>0.3</v>
      </c>
      <c r="H232">
        <v>0</v>
      </c>
      <c r="I232">
        <v>1.95E-2</v>
      </c>
      <c r="J232">
        <v>0</v>
      </c>
      <c r="K232">
        <v>0</v>
      </c>
      <c r="L232" s="2">
        <v>274.67821101294783</v>
      </c>
    </row>
    <row r="233" spans="1:12" x14ac:dyDescent="0.2">
      <c r="A233" s="9"/>
      <c r="B233" s="9"/>
      <c r="C233" s="11"/>
      <c r="D233">
        <v>16</v>
      </c>
      <c r="E233">
        <v>0</v>
      </c>
      <c r="F233">
        <v>67.497403521660004</v>
      </c>
      <c r="G233">
        <v>0.3</v>
      </c>
      <c r="H233">
        <v>0</v>
      </c>
      <c r="I233">
        <v>1.95E-2</v>
      </c>
      <c r="J233">
        <v>0</v>
      </c>
      <c r="K233">
        <v>0</v>
      </c>
      <c r="L233" s="2">
        <v>321.85346839158598</v>
      </c>
    </row>
    <row r="234" spans="1:12" x14ac:dyDescent="0.2">
      <c r="A234" s="9"/>
      <c r="B234" s="9"/>
      <c r="C234" s="11"/>
      <c r="D234">
        <v>17</v>
      </c>
      <c r="E234">
        <v>0</v>
      </c>
      <c r="F234">
        <v>92.632487607421439</v>
      </c>
      <c r="G234">
        <v>0.3</v>
      </c>
      <c r="H234">
        <v>0</v>
      </c>
      <c r="I234">
        <v>1.95E-2</v>
      </c>
      <c r="J234">
        <v>0</v>
      </c>
      <c r="K234">
        <v>0</v>
      </c>
      <c r="L234" s="2">
        <v>442.91056288097741</v>
      </c>
    </row>
    <row r="235" spans="1:12" x14ac:dyDescent="0.2">
      <c r="A235" s="9"/>
      <c r="B235" s="9"/>
      <c r="C235" s="11"/>
      <c r="D235">
        <v>18</v>
      </c>
      <c r="E235">
        <v>0</v>
      </c>
      <c r="F235">
        <v>109.9200439688979</v>
      </c>
      <c r="G235">
        <v>0.3</v>
      </c>
      <c r="H235">
        <v>0</v>
      </c>
      <c r="I235">
        <v>1.95E-2</v>
      </c>
      <c r="J235">
        <v>0</v>
      </c>
      <c r="K235">
        <v>0</v>
      </c>
      <c r="L235" s="2">
        <v>518.54347291435238</v>
      </c>
    </row>
    <row r="236" spans="1:12" x14ac:dyDescent="0.2">
      <c r="A236" s="9"/>
      <c r="B236" s="9"/>
      <c r="C236" s="11"/>
      <c r="D236">
        <v>19</v>
      </c>
      <c r="E236">
        <v>0</v>
      </c>
      <c r="F236">
        <v>92.805696222024991</v>
      </c>
      <c r="G236">
        <v>0.3</v>
      </c>
      <c r="H236">
        <v>0</v>
      </c>
      <c r="I236">
        <v>1.95E-2</v>
      </c>
      <c r="J236">
        <v>0</v>
      </c>
      <c r="K236">
        <v>0</v>
      </c>
      <c r="L236" s="2">
        <v>418.64982533780369</v>
      </c>
    </row>
    <row r="237" spans="1:12" x14ac:dyDescent="0.2">
      <c r="A237" s="9"/>
      <c r="B237" s="9"/>
      <c r="C237" s="11"/>
      <c r="D237">
        <v>20</v>
      </c>
      <c r="E237">
        <v>0</v>
      </c>
      <c r="F237">
        <v>55.371516438550003</v>
      </c>
      <c r="G237">
        <v>0.3</v>
      </c>
      <c r="H237">
        <v>0</v>
      </c>
      <c r="I237">
        <v>1.95E-2</v>
      </c>
      <c r="J237">
        <v>0</v>
      </c>
      <c r="K237">
        <v>0</v>
      </c>
      <c r="L237" s="2">
        <v>268.71690325329757</v>
      </c>
    </row>
    <row r="238" spans="1:12" x14ac:dyDescent="0.2">
      <c r="A238" s="9"/>
      <c r="B238" s="9"/>
      <c r="C238" s="11"/>
      <c r="D238">
        <v>21</v>
      </c>
      <c r="E238">
        <v>0</v>
      </c>
      <c r="F238">
        <v>32.755016720662859</v>
      </c>
      <c r="G238">
        <v>0.3</v>
      </c>
      <c r="H238">
        <v>0</v>
      </c>
      <c r="I238">
        <v>1.95E-2</v>
      </c>
      <c r="J238">
        <v>0</v>
      </c>
      <c r="K238">
        <v>0</v>
      </c>
      <c r="L238" s="2">
        <v>175.91336650225199</v>
      </c>
    </row>
    <row r="239" spans="1:12" x14ac:dyDescent="0.2">
      <c r="A239" s="9"/>
      <c r="B239" s="9"/>
      <c r="C239" s="11"/>
      <c r="D239">
        <v>22</v>
      </c>
      <c r="E239">
        <v>0</v>
      </c>
      <c r="F239">
        <v>28.052543139495711</v>
      </c>
      <c r="G239">
        <v>0.3</v>
      </c>
      <c r="H239">
        <v>0</v>
      </c>
      <c r="I239">
        <v>1.95E-2</v>
      </c>
      <c r="J239">
        <v>0</v>
      </c>
      <c r="K239">
        <v>0</v>
      </c>
      <c r="L239" s="2">
        <v>138.14997260292591</v>
      </c>
    </row>
    <row r="240" spans="1:12" x14ac:dyDescent="0.2">
      <c r="A240" s="9"/>
      <c r="B240" s="9"/>
      <c r="C240" s="11"/>
      <c r="D240">
        <v>23</v>
      </c>
      <c r="E240">
        <v>0</v>
      </c>
      <c r="F240">
        <v>0</v>
      </c>
      <c r="G240">
        <v>0.3</v>
      </c>
      <c r="H240">
        <v>0</v>
      </c>
      <c r="I240">
        <v>1.95E-2</v>
      </c>
      <c r="J240">
        <v>0</v>
      </c>
      <c r="K240">
        <v>0</v>
      </c>
      <c r="L240" s="2">
        <v>0</v>
      </c>
    </row>
    <row r="241" spans="1:12" x14ac:dyDescent="0.2">
      <c r="A241" s="9"/>
      <c r="B241" s="9"/>
      <c r="C241" s="11"/>
      <c r="D241">
        <v>24</v>
      </c>
      <c r="E241">
        <v>0</v>
      </c>
      <c r="F241">
        <v>0</v>
      </c>
      <c r="G241">
        <v>0.3</v>
      </c>
      <c r="H241">
        <v>0</v>
      </c>
      <c r="I241">
        <v>1.95E-2</v>
      </c>
      <c r="J241">
        <v>0</v>
      </c>
      <c r="K241">
        <v>0</v>
      </c>
      <c r="L241" s="2">
        <v>0</v>
      </c>
    </row>
  </sheetData>
  <mergeCells count="12">
    <mergeCell ref="C146:C169"/>
    <mergeCell ref="C170:C193"/>
    <mergeCell ref="C194:C217"/>
    <mergeCell ref="C218:C241"/>
    <mergeCell ref="B2:B241"/>
    <mergeCell ref="A2:A241"/>
    <mergeCell ref="C2:C25"/>
    <mergeCell ref="C26:C49"/>
    <mergeCell ref="C50:C73"/>
    <mergeCell ref="C74:C97"/>
    <mergeCell ref="C98:C121"/>
    <mergeCell ref="C122:C145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ECE5-879C-304D-9C05-3280A857C235}">
  <dimension ref="A1:K14"/>
  <sheetViews>
    <sheetView topLeftCell="A2" workbookViewId="0">
      <selection activeCell="H19" sqref="H19"/>
    </sheetView>
  </sheetViews>
  <sheetFormatPr baseColWidth="10" defaultRowHeight="16" x14ac:dyDescent="0.2"/>
  <cols>
    <col min="8" max="8" width="43" bestFit="1" customWidth="1"/>
  </cols>
  <sheetData>
    <row r="1" spans="1:11" x14ac:dyDescent="0.2">
      <c r="A1" t="s">
        <v>0</v>
      </c>
      <c r="B1" t="s">
        <v>10</v>
      </c>
      <c r="C1" t="s">
        <v>11</v>
      </c>
      <c r="D1" t="s">
        <v>12</v>
      </c>
      <c r="E1" s="4" t="s">
        <v>13</v>
      </c>
    </row>
    <row r="2" spans="1:11" x14ac:dyDescent="0.2">
      <c r="A2">
        <v>1</v>
      </c>
      <c r="B2">
        <v>27</v>
      </c>
      <c r="C2">
        <v>24</v>
      </c>
      <c r="D2">
        <v>1</v>
      </c>
      <c r="E2" s="4">
        <f>B2*SUM(df_Grid_t!L2:L25)</f>
        <v>145799.99999999991</v>
      </c>
    </row>
    <row r="3" spans="1:11" x14ac:dyDescent="0.2">
      <c r="A3">
        <v>2</v>
      </c>
      <c r="B3">
        <v>38</v>
      </c>
      <c r="C3">
        <v>24</v>
      </c>
      <c r="D3">
        <v>1</v>
      </c>
      <c r="E3" s="4">
        <f>B3*SUM(df_Grid_t!L26:L49)</f>
        <v>205199.99999999977</v>
      </c>
    </row>
    <row r="4" spans="1:11" x14ac:dyDescent="0.2">
      <c r="A4">
        <v>3</v>
      </c>
      <c r="B4">
        <v>21</v>
      </c>
      <c r="C4">
        <v>24</v>
      </c>
      <c r="D4">
        <v>1</v>
      </c>
      <c r="E4" s="4">
        <f>B4*SUM(df_Grid_t!L50:L73)</f>
        <v>113399.99999999993</v>
      </c>
    </row>
    <row r="5" spans="1:11" x14ac:dyDescent="0.2">
      <c r="A5">
        <v>4</v>
      </c>
      <c r="B5">
        <v>57</v>
      </c>
      <c r="C5">
        <v>24</v>
      </c>
      <c r="D5">
        <v>1</v>
      </c>
      <c r="E5" s="4">
        <f>B5*SUM(df_Grid_t!L74:L97)</f>
        <v>307799.99999999977</v>
      </c>
      <c r="H5" t="s">
        <v>15</v>
      </c>
      <c r="I5">
        <v>30.3</v>
      </c>
      <c r="J5" t="s">
        <v>16</v>
      </c>
    </row>
    <row r="6" spans="1:11" x14ac:dyDescent="0.2">
      <c r="A6">
        <v>5</v>
      </c>
      <c r="B6">
        <v>33</v>
      </c>
      <c r="C6">
        <v>24</v>
      </c>
      <c r="D6">
        <v>1</v>
      </c>
      <c r="E6" s="4">
        <f>B6*SUM(df_Grid_t!L98:L121)</f>
        <v>178199.9999999998</v>
      </c>
      <c r="H6" t="s">
        <v>17</v>
      </c>
      <c r="I6">
        <v>4</v>
      </c>
      <c r="J6" t="s">
        <v>18</v>
      </c>
      <c r="K6" t="s">
        <v>19</v>
      </c>
    </row>
    <row r="7" spans="1:11" x14ac:dyDescent="0.2">
      <c r="A7">
        <v>6</v>
      </c>
      <c r="B7">
        <v>49</v>
      </c>
      <c r="C7">
        <v>24</v>
      </c>
      <c r="D7">
        <v>1</v>
      </c>
      <c r="E7" s="4">
        <f>B7*SUM(df_Grid_t!L122:L145)</f>
        <v>264599.99999999983</v>
      </c>
      <c r="H7" t="s">
        <v>20</v>
      </c>
      <c r="I7">
        <f>I5*I6/100</f>
        <v>1.212</v>
      </c>
      <c r="J7" t="s">
        <v>16</v>
      </c>
    </row>
    <row r="8" spans="1:11" x14ac:dyDescent="0.2">
      <c r="A8">
        <v>7</v>
      </c>
      <c r="B8">
        <v>31</v>
      </c>
      <c r="C8">
        <v>24</v>
      </c>
      <c r="D8">
        <v>1</v>
      </c>
      <c r="E8" s="4">
        <f>B8*SUM(df_Grid_t!L146:L169)</f>
        <v>167399.9999999998</v>
      </c>
      <c r="H8" t="s">
        <v>21</v>
      </c>
      <c r="I8">
        <v>0.22</v>
      </c>
      <c r="J8" t="s">
        <v>22</v>
      </c>
    </row>
    <row r="9" spans="1:11" x14ac:dyDescent="0.2">
      <c r="A9">
        <v>8</v>
      </c>
      <c r="B9">
        <v>45</v>
      </c>
      <c r="C9">
        <v>24</v>
      </c>
      <c r="D9">
        <v>1</v>
      </c>
      <c r="E9" s="4">
        <f>B9*SUM(df_Grid_t!L170:L193)</f>
        <v>242999.99999999971</v>
      </c>
      <c r="H9" t="s">
        <v>23</v>
      </c>
      <c r="I9">
        <v>1.0526</v>
      </c>
      <c r="K9" s="5" t="s">
        <v>24</v>
      </c>
    </row>
    <row r="10" spans="1:11" x14ac:dyDescent="0.2">
      <c r="A10">
        <v>9</v>
      </c>
      <c r="B10">
        <v>50</v>
      </c>
      <c r="C10">
        <v>24</v>
      </c>
      <c r="D10">
        <v>1</v>
      </c>
      <c r="E10" s="4">
        <f>B10*SUM(df_Grid_t!L194:L217)</f>
        <v>269999.99999999971</v>
      </c>
      <c r="H10" s="6" t="s">
        <v>25</v>
      </c>
      <c r="I10" s="6">
        <f>I7*I8*I9*365</f>
        <v>102.44282135999998</v>
      </c>
      <c r="J10" s="6" t="s">
        <v>26</v>
      </c>
    </row>
    <row r="11" spans="1:11" x14ac:dyDescent="0.2">
      <c r="A11">
        <v>10</v>
      </c>
      <c r="B11">
        <v>14</v>
      </c>
      <c r="C11">
        <v>24</v>
      </c>
      <c r="D11">
        <v>1</v>
      </c>
      <c r="E11" s="4">
        <f>B11*SUM(df_Grid_t!L218:L241)</f>
        <v>75599.999999999913</v>
      </c>
    </row>
    <row r="12" spans="1:11" x14ac:dyDescent="0.2">
      <c r="A12">
        <v>11</v>
      </c>
      <c r="B12">
        <v>0</v>
      </c>
      <c r="C12">
        <v>1</v>
      </c>
      <c r="D12">
        <v>1</v>
      </c>
      <c r="E12" s="4">
        <v>0</v>
      </c>
    </row>
    <row r="13" spans="1:11" x14ac:dyDescent="0.2">
      <c r="A13">
        <v>12</v>
      </c>
      <c r="B13">
        <v>0</v>
      </c>
      <c r="C13">
        <v>1</v>
      </c>
      <c r="D13">
        <v>1</v>
      </c>
      <c r="E13" s="4">
        <v>0</v>
      </c>
    </row>
    <row r="14" spans="1:11" x14ac:dyDescent="0.2">
      <c r="A14" s="4"/>
      <c r="B14" s="4">
        <f>SUM(B2:B13)</f>
        <v>365</v>
      </c>
      <c r="C14" s="4"/>
      <c r="D14" s="4"/>
      <c r="E14" s="4">
        <f>SUM(E2:E13)</f>
        <v>1970999.9999999981</v>
      </c>
      <c r="F14" t="s">
        <v>14</v>
      </c>
    </row>
  </sheetData>
  <hyperlinks>
    <hyperlink ref="K9" r:id="rId1" xr:uid="{BC5B30A4-C7A2-464B-9409-F0052A4453A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4E5E-A586-EB49-884A-315CE03BB687}">
  <dimension ref="A1:B2"/>
  <sheetViews>
    <sheetView tabSelected="1" workbookViewId="0">
      <selection activeCell="F7" sqref="F7"/>
    </sheetView>
  </sheetViews>
  <sheetFormatPr baseColWidth="10" defaultRowHeight="16" x14ac:dyDescent="0.2"/>
  <cols>
    <col min="1" max="1" width="28.33203125" bestFit="1" customWidth="1"/>
  </cols>
  <sheetData>
    <row r="1" spans="1:2" x14ac:dyDescent="0.2">
      <c r="A1" t="s">
        <v>33</v>
      </c>
      <c r="B1" s="5" t="s">
        <v>34</v>
      </c>
    </row>
    <row r="2" spans="1:2" x14ac:dyDescent="0.2">
      <c r="A2" t="s">
        <v>36</v>
      </c>
      <c r="B2" t="s">
        <v>35</v>
      </c>
    </row>
  </sheetData>
  <hyperlinks>
    <hyperlink ref="B1" r:id="rId1" xr:uid="{F1776A5B-FBA6-1245-9D05-601DFCB657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&gt;&gt;&gt;</vt:lpstr>
      <vt:lpstr>df_Grid_t</vt:lpstr>
      <vt:lpstr>df_Time</vt:lpstr>
      <vt:lpstr>LCA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Thomas Gilles Blanchouin</dc:creator>
  <cp:lastModifiedBy>Maxime Thomas Gilles Blanchouin</cp:lastModifiedBy>
  <dcterms:created xsi:type="dcterms:W3CDTF">2024-11-29T07:40:50Z</dcterms:created>
  <dcterms:modified xsi:type="dcterms:W3CDTF">2024-11-29T08:11:54Z</dcterms:modified>
</cp:coreProperties>
</file>